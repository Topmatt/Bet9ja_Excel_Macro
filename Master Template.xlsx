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PMATT\Documents\Bet9ja Excel Macro\Bet9ja_Excel_Macro\"/>
    </mc:Choice>
  </mc:AlternateContent>
  <xr:revisionPtr revIDLastSave="0" documentId="13_ncr:1_{8782BF4E-95F1-4A7E-8ECB-9E4574790A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S52" i="1" l="1"/>
  <c r="BS52" i="1" s="1"/>
  <c r="BT52" i="1" s="1"/>
  <c r="CR52" i="1"/>
  <c r="CQ52" i="1"/>
  <c r="CP52" i="1"/>
  <c r="CO52" i="1"/>
  <c r="CN52" i="1"/>
  <c r="CM52" i="1"/>
  <c r="CL52" i="1"/>
  <c r="CK52" i="1"/>
  <c r="CJ52" i="1"/>
  <c r="CI52" i="1"/>
  <c r="CH52" i="1"/>
  <c r="CD52" i="1"/>
  <c r="CF52" i="1" s="1"/>
  <c r="CC52" i="1"/>
  <c r="CB52" i="1"/>
  <c r="CA52" i="1"/>
  <c r="BR52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D51" i="1"/>
  <c r="CF51" i="1" s="1"/>
  <c r="CC51" i="1"/>
  <c r="CB51" i="1"/>
  <c r="CA51" i="1"/>
  <c r="BS51" i="1"/>
  <c r="BT51" i="1" s="1"/>
  <c r="BQ51" i="1" s="1"/>
  <c r="BW51" i="1" s="1"/>
  <c r="BR51" i="1"/>
  <c r="CS50" i="1"/>
  <c r="BS50" i="1" s="1"/>
  <c r="CR50" i="1"/>
  <c r="CQ50" i="1"/>
  <c r="CP50" i="1"/>
  <c r="CO50" i="1"/>
  <c r="CN50" i="1"/>
  <c r="CM50" i="1"/>
  <c r="CL50" i="1"/>
  <c r="CK50" i="1"/>
  <c r="CJ50" i="1"/>
  <c r="CI50" i="1"/>
  <c r="CH50" i="1"/>
  <c r="CD50" i="1"/>
  <c r="CF50" i="1" s="1"/>
  <c r="CC50" i="1"/>
  <c r="CB50" i="1"/>
  <c r="CA50" i="1"/>
  <c r="BR50" i="1"/>
  <c r="CS49" i="1"/>
  <c r="BS49" i="1" s="1"/>
  <c r="CR49" i="1"/>
  <c r="CQ49" i="1"/>
  <c r="CP49" i="1"/>
  <c r="CO49" i="1"/>
  <c r="CN49" i="1"/>
  <c r="CM49" i="1"/>
  <c r="CL49" i="1"/>
  <c r="CK49" i="1"/>
  <c r="CJ49" i="1"/>
  <c r="CI49" i="1"/>
  <c r="CH49" i="1"/>
  <c r="CD49" i="1"/>
  <c r="CF49" i="1" s="1"/>
  <c r="CC49" i="1"/>
  <c r="CB49" i="1"/>
  <c r="CA49" i="1"/>
  <c r="BR49" i="1"/>
  <c r="CS48" i="1"/>
  <c r="BS48" i="1" s="1"/>
  <c r="CR48" i="1"/>
  <c r="CQ48" i="1"/>
  <c r="CP48" i="1"/>
  <c r="CO48" i="1"/>
  <c r="CN48" i="1"/>
  <c r="CM48" i="1"/>
  <c r="CL48" i="1"/>
  <c r="CK48" i="1"/>
  <c r="CJ48" i="1"/>
  <c r="CI48" i="1"/>
  <c r="CH48" i="1"/>
  <c r="CD48" i="1"/>
  <c r="CF48" i="1" s="1"/>
  <c r="CC48" i="1"/>
  <c r="CB48" i="1"/>
  <c r="CA48" i="1"/>
  <c r="BR48" i="1"/>
  <c r="CS47" i="1"/>
  <c r="BS47" i="1" s="1"/>
  <c r="BT47" i="1" s="1"/>
  <c r="CR47" i="1"/>
  <c r="CQ47" i="1"/>
  <c r="CP47" i="1"/>
  <c r="CO47" i="1"/>
  <c r="CN47" i="1"/>
  <c r="CM47" i="1"/>
  <c r="CL47" i="1"/>
  <c r="CK47" i="1"/>
  <c r="CJ47" i="1"/>
  <c r="CI47" i="1"/>
  <c r="CH47" i="1"/>
  <c r="CD47" i="1"/>
  <c r="CF47" i="1" s="1"/>
  <c r="CC47" i="1"/>
  <c r="CB47" i="1"/>
  <c r="CA47" i="1"/>
  <c r="BR47" i="1"/>
  <c r="CS46" i="1"/>
  <c r="BS46" i="1" s="1"/>
  <c r="CR46" i="1"/>
  <c r="CQ46" i="1"/>
  <c r="CP46" i="1"/>
  <c r="CO46" i="1"/>
  <c r="CN46" i="1"/>
  <c r="CM46" i="1"/>
  <c r="CL46" i="1"/>
  <c r="CK46" i="1"/>
  <c r="CJ46" i="1"/>
  <c r="CI46" i="1"/>
  <c r="CH46" i="1"/>
  <c r="CD46" i="1"/>
  <c r="CF46" i="1" s="1"/>
  <c r="CC46" i="1"/>
  <c r="CB46" i="1"/>
  <c r="CA46" i="1"/>
  <c r="CG46" i="1" s="1"/>
  <c r="CE46" i="1" s="1"/>
  <c r="BR46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D45" i="1"/>
  <c r="CF45" i="1" s="1"/>
  <c r="CC45" i="1"/>
  <c r="CB45" i="1"/>
  <c r="CA45" i="1"/>
  <c r="BS45" i="1"/>
  <c r="BT45" i="1" s="1"/>
  <c r="BR45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D44" i="1"/>
  <c r="CF44" i="1" s="1"/>
  <c r="CC44" i="1"/>
  <c r="CB44" i="1"/>
  <c r="CA44" i="1"/>
  <c r="BS44" i="1"/>
  <c r="BT44" i="1" s="1"/>
  <c r="BR44" i="1"/>
  <c r="CS43" i="1"/>
  <c r="BS43" i="1" s="1"/>
  <c r="CR43" i="1"/>
  <c r="CQ43" i="1"/>
  <c r="CP43" i="1"/>
  <c r="CO43" i="1"/>
  <c r="CN43" i="1"/>
  <c r="CM43" i="1"/>
  <c r="CL43" i="1"/>
  <c r="CK43" i="1"/>
  <c r="CJ43" i="1"/>
  <c r="CI43" i="1"/>
  <c r="CH43" i="1"/>
  <c r="CD43" i="1"/>
  <c r="CF43" i="1" s="1"/>
  <c r="CC43" i="1"/>
  <c r="CB43" i="1"/>
  <c r="CA43" i="1"/>
  <c r="BR43" i="1"/>
  <c r="CS42" i="1"/>
  <c r="BS42" i="1" s="1"/>
  <c r="BY42" i="1" s="1"/>
  <c r="CR42" i="1"/>
  <c r="CQ42" i="1"/>
  <c r="CP42" i="1"/>
  <c r="CO42" i="1"/>
  <c r="CN42" i="1"/>
  <c r="CM42" i="1"/>
  <c r="CL42" i="1"/>
  <c r="CK42" i="1"/>
  <c r="CJ42" i="1"/>
  <c r="CI42" i="1"/>
  <c r="CH42" i="1"/>
  <c r="CD42" i="1"/>
  <c r="CF42" i="1" s="1"/>
  <c r="CC42" i="1"/>
  <c r="CB42" i="1"/>
  <c r="CA42" i="1"/>
  <c r="CG42" i="1" s="1"/>
  <c r="CE42" i="1" s="1"/>
  <c r="BR42" i="1"/>
  <c r="CS41" i="1"/>
  <c r="BS41" i="1" s="1"/>
  <c r="BY41" i="1" s="1"/>
  <c r="CR41" i="1"/>
  <c r="CQ41" i="1"/>
  <c r="CP41" i="1"/>
  <c r="CO41" i="1"/>
  <c r="CN41" i="1"/>
  <c r="CM41" i="1"/>
  <c r="CL41" i="1"/>
  <c r="CK41" i="1"/>
  <c r="CJ41" i="1"/>
  <c r="CI41" i="1"/>
  <c r="CH41" i="1"/>
  <c r="CD41" i="1"/>
  <c r="CF41" i="1" s="1"/>
  <c r="CC41" i="1"/>
  <c r="CB41" i="1"/>
  <c r="CA41" i="1"/>
  <c r="CG41" i="1" s="1"/>
  <c r="CE41" i="1" s="1"/>
  <c r="BR41" i="1"/>
  <c r="CS40" i="1"/>
  <c r="CR40" i="1"/>
  <c r="BR40" i="1" s="1"/>
  <c r="CQ40" i="1"/>
  <c r="CP40" i="1"/>
  <c r="CO40" i="1"/>
  <c r="CN40" i="1"/>
  <c r="CM40" i="1"/>
  <c r="CL40" i="1"/>
  <c r="CK40" i="1"/>
  <c r="CJ40" i="1"/>
  <c r="CI40" i="1"/>
  <c r="CH40" i="1"/>
  <c r="CD40" i="1"/>
  <c r="CF40" i="1" s="1"/>
  <c r="CC40" i="1"/>
  <c r="CB40" i="1"/>
  <c r="CA40" i="1"/>
  <c r="BS40" i="1"/>
  <c r="BY40" i="1" s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D39" i="1"/>
  <c r="CF39" i="1" s="1"/>
  <c r="CC39" i="1"/>
  <c r="CB39" i="1"/>
  <c r="CA39" i="1"/>
  <c r="BS39" i="1"/>
  <c r="BY39" i="1" s="1"/>
  <c r="BR39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D38" i="1"/>
  <c r="CF38" i="1" s="1"/>
  <c r="CC38" i="1"/>
  <c r="CB38" i="1"/>
  <c r="CA38" i="1"/>
  <c r="BS38" i="1"/>
  <c r="BY38" i="1" s="1"/>
  <c r="BR38" i="1"/>
  <c r="CS37" i="1"/>
  <c r="BS37" i="1" s="1"/>
  <c r="BY37" i="1" s="1"/>
  <c r="CR37" i="1"/>
  <c r="CQ37" i="1"/>
  <c r="CP37" i="1"/>
  <c r="CO37" i="1"/>
  <c r="CN37" i="1"/>
  <c r="CM37" i="1"/>
  <c r="CL37" i="1"/>
  <c r="CK37" i="1"/>
  <c r="CJ37" i="1"/>
  <c r="CI37" i="1"/>
  <c r="CH37" i="1"/>
  <c r="CD37" i="1"/>
  <c r="CF37" i="1" s="1"/>
  <c r="CC37" i="1"/>
  <c r="CB37" i="1"/>
  <c r="CA37" i="1"/>
  <c r="BR37" i="1"/>
  <c r="CS36" i="1"/>
  <c r="BS36" i="1" s="1"/>
  <c r="BY36" i="1" s="1"/>
  <c r="CR36" i="1"/>
  <c r="BR36" i="1" s="1"/>
  <c r="CQ36" i="1"/>
  <c r="CP36" i="1"/>
  <c r="CO36" i="1"/>
  <c r="CN36" i="1"/>
  <c r="CM36" i="1"/>
  <c r="CL36" i="1"/>
  <c r="CK36" i="1"/>
  <c r="CJ36" i="1"/>
  <c r="CI36" i="1"/>
  <c r="CH36" i="1"/>
  <c r="CD36" i="1"/>
  <c r="CF36" i="1" s="1"/>
  <c r="CC36" i="1"/>
  <c r="CB36" i="1"/>
  <c r="CA36" i="1"/>
  <c r="CS35" i="1"/>
  <c r="BS35" i="1" s="1"/>
  <c r="CR35" i="1"/>
  <c r="BR35" i="1" s="1"/>
  <c r="CQ35" i="1"/>
  <c r="CP35" i="1"/>
  <c r="CO35" i="1"/>
  <c r="CN35" i="1"/>
  <c r="CM35" i="1"/>
  <c r="CL35" i="1"/>
  <c r="CK35" i="1"/>
  <c r="CJ35" i="1"/>
  <c r="CI35" i="1"/>
  <c r="CH35" i="1"/>
  <c r="CD35" i="1"/>
  <c r="CF35" i="1" s="1"/>
  <c r="CC35" i="1"/>
  <c r="CB35" i="1"/>
  <c r="CA35" i="1"/>
  <c r="CS34" i="1"/>
  <c r="BS34" i="1" s="1"/>
  <c r="BZ34" i="1" s="1"/>
  <c r="CR34" i="1"/>
  <c r="BR34" i="1" s="1"/>
  <c r="CQ34" i="1"/>
  <c r="CP34" i="1"/>
  <c r="CO34" i="1"/>
  <c r="CN34" i="1"/>
  <c r="CM34" i="1"/>
  <c r="CL34" i="1"/>
  <c r="CK34" i="1"/>
  <c r="CJ34" i="1"/>
  <c r="CI34" i="1"/>
  <c r="CH34" i="1"/>
  <c r="CD34" i="1"/>
  <c r="CF34" i="1" s="1"/>
  <c r="CC34" i="1"/>
  <c r="CB34" i="1"/>
  <c r="CA34" i="1"/>
  <c r="CS33" i="1"/>
  <c r="BS33" i="1" s="1"/>
  <c r="BT33" i="1" s="1"/>
  <c r="CR33" i="1"/>
  <c r="CQ33" i="1"/>
  <c r="CP33" i="1"/>
  <c r="CO33" i="1"/>
  <c r="CN33" i="1"/>
  <c r="CM33" i="1"/>
  <c r="CL33" i="1"/>
  <c r="CK33" i="1"/>
  <c r="CJ33" i="1"/>
  <c r="CI33" i="1"/>
  <c r="CH33" i="1"/>
  <c r="CD33" i="1"/>
  <c r="CF33" i="1" s="1"/>
  <c r="CC33" i="1"/>
  <c r="CB33" i="1"/>
  <c r="CA33" i="1"/>
  <c r="CG33" i="1" s="1"/>
  <c r="CE33" i="1" s="1"/>
  <c r="BR33" i="1"/>
  <c r="CS32" i="1"/>
  <c r="BS32" i="1" s="1"/>
  <c r="CR32" i="1"/>
  <c r="CQ32" i="1"/>
  <c r="CP32" i="1"/>
  <c r="CO32" i="1"/>
  <c r="CN32" i="1"/>
  <c r="CM32" i="1"/>
  <c r="CL32" i="1"/>
  <c r="CK32" i="1"/>
  <c r="CJ32" i="1"/>
  <c r="CI32" i="1"/>
  <c r="CH32" i="1"/>
  <c r="CD32" i="1"/>
  <c r="CF32" i="1" s="1"/>
  <c r="CC32" i="1"/>
  <c r="CB32" i="1"/>
  <c r="CA32" i="1"/>
  <c r="BR32" i="1"/>
  <c r="CS31" i="1"/>
  <c r="BS31" i="1" s="1"/>
  <c r="CR31" i="1"/>
  <c r="BR31" i="1" s="1"/>
  <c r="CQ31" i="1"/>
  <c r="CP31" i="1"/>
  <c r="CO31" i="1"/>
  <c r="CN31" i="1"/>
  <c r="CM31" i="1"/>
  <c r="CL31" i="1"/>
  <c r="CK31" i="1"/>
  <c r="CJ31" i="1"/>
  <c r="CI31" i="1"/>
  <c r="CH31" i="1"/>
  <c r="CD31" i="1"/>
  <c r="CF31" i="1" s="1"/>
  <c r="CC31" i="1"/>
  <c r="CB31" i="1"/>
  <c r="CA31" i="1"/>
  <c r="CG31" i="1" s="1"/>
  <c r="CE31" i="1" s="1"/>
  <c r="CS30" i="1"/>
  <c r="BS30" i="1" s="1"/>
  <c r="BZ30" i="1" s="1"/>
  <c r="CR30" i="1"/>
  <c r="CQ30" i="1"/>
  <c r="CP30" i="1"/>
  <c r="CO30" i="1"/>
  <c r="CN30" i="1"/>
  <c r="CM30" i="1"/>
  <c r="CL30" i="1"/>
  <c r="CK30" i="1"/>
  <c r="CJ30" i="1"/>
  <c r="CI30" i="1"/>
  <c r="CH30" i="1"/>
  <c r="CF30" i="1"/>
  <c r="CD30" i="1"/>
  <c r="CC30" i="1"/>
  <c r="CB30" i="1"/>
  <c r="CA30" i="1"/>
  <c r="BR30" i="1"/>
  <c r="CS29" i="1"/>
  <c r="BS29" i="1" s="1"/>
  <c r="BY29" i="1" s="1"/>
  <c r="CR29" i="1"/>
  <c r="BR29" i="1" s="1"/>
  <c r="CQ29" i="1"/>
  <c r="CP29" i="1"/>
  <c r="CO29" i="1"/>
  <c r="CN29" i="1"/>
  <c r="CM29" i="1"/>
  <c r="CL29" i="1"/>
  <c r="CK29" i="1"/>
  <c r="CJ29" i="1"/>
  <c r="CI29" i="1"/>
  <c r="CH29" i="1"/>
  <c r="CD29" i="1"/>
  <c r="CF29" i="1" s="1"/>
  <c r="CC29" i="1"/>
  <c r="CB29" i="1"/>
  <c r="CA29" i="1"/>
  <c r="CS28" i="1"/>
  <c r="BS28" i="1" s="1"/>
  <c r="BZ28" i="1" s="1"/>
  <c r="CR28" i="1"/>
  <c r="BR28" i="1" s="1"/>
  <c r="CQ28" i="1"/>
  <c r="CP28" i="1"/>
  <c r="CO28" i="1"/>
  <c r="CN28" i="1"/>
  <c r="CM28" i="1"/>
  <c r="CL28" i="1"/>
  <c r="CK28" i="1"/>
  <c r="CJ28" i="1"/>
  <c r="CI28" i="1"/>
  <c r="CH28" i="1"/>
  <c r="CD28" i="1"/>
  <c r="CF28" i="1" s="1"/>
  <c r="CC28" i="1"/>
  <c r="CB28" i="1"/>
  <c r="CA28" i="1"/>
  <c r="CS27" i="1"/>
  <c r="BS27" i="1" s="1"/>
  <c r="CR27" i="1"/>
  <c r="CQ27" i="1"/>
  <c r="CP27" i="1"/>
  <c r="CO27" i="1"/>
  <c r="CN27" i="1"/>
  <c r="CM27" i="1"/>
  <c r="CL27" i="1"/>
  <c r="CK27" i="1"/>
  <c r="CJ27" i="1"/>
  <c r="CI27" i="1"/>
  <c r="CH27" i="1"/>
  <c r="CD27" i="1"/>
  <c r="CF27" i="1" s="1"/>
  <c r="CC27" i="1"/>
  <c r="CB27" i="1"/>
  <c r="CA27" i="1"/>
  <c r="BR27" i="1"/>
  <c r="CS26" i="1"/>
  <c r="BS26" i="1" s="1"/>
  <c r="CR26" i="1"/>
  <c r="CQ26" i="1"/>
  <c r="CP26" i="1"/>
  <c r="CO26" i="1"/>
  <c r="CN26" i="1"/>
  <c r="CM26" i="1"/>
  <c r="CL26" i="1"/>
  <c r="CK26" i="1"/>
  <c r="CJ26" i="1"/>
  <c r="CI26" i="1"/>
  <c r="CH26" i="1"/>
  <c r="CD26" i="1"/>
  <c r="CF26" i="1" s="1"/>
  <c r="CC26" i="1"/>
  <c r="CB26" i="1"/>
  <c r="CA26" i="1"/>
  <c r="BR26" i="1"/>
  <c r="CS25" i="1"/>
  <c r="BS25" i="1" s="1"/>
  <c r="CR25" i="1"/>
  <c r="CQ25" i="1"/>
  <c r="CP25" i="1"/>
  <c r="CO25" i="1"/>
  <c r="CN25" i="1"/>
  <c r="CM25" i="1"/>
  <c r="CL25" i="1"/>
  <c r="CK25" i="1"/>
  <c r="CJ25" i="1"/>
  <c r="CI25" i="1"/>
  <c r="CH25" i="1"/>
  <c r="CF25" i="1"/>
  <c r="CD25" i="1"/>
  <c r="CC25" i="1"/>
  <c r="CB25" i="1"/>
  <c r="CA25" i="1"/>
  <c r="BR25" i="1"/>
  <c r="CS24" i="1"/>
  <c r="BS24" i="1" s="1"/>
  <c r="CR24" i="1"/>
  <c r="CQ24" i="1"/>
  <c r="CP24" i="1"/>
  <c r="CO24" i="1"/>
  <c r="CN24" i="1"/>
  <c r="CM24" i="1"/>
  <c r="CL24" i="1"/>
  <c r="CK24" i="1"/>
  <c r="CJ24" i="1"/>
  <c r="CI24" i="1"/>
  <c r="CH24" i="1"/>
  <c r="CD24" i="1"/>
  <c r="CF24" i="1" s="1"/>
  <c r="CC24" i="1"/>
  <c r="CB24" i="1"/>
  <c r="CA24" i="1"/>
  <c r="CG24" i="1" s="1"/>
  <c r="CE24" i="1" s="1"/>
  <c r="BR24" i="1"/>
  <c r="CS23" i="1"/>
  <c r="BS23" i="1" s="1"/>
  <c r="BT23" i="1" s="1"/>
  <c r="CR23" i="1"/>
  <c r="CQ23" i="1"/>
  <c r="CP23" i="1"/>
  <c r="CO23" i="1"/>
  <c r="CN23" i="1"/>
  <c r="CM23" i="1"/>
  <c r="CL23" i="1"/>
  <c r="CK23" i="1"/>
  <c r="CJ23" i="1"/>
  <c r="CI23" i="1"/>
  <c r="CH23" i="1"/>
  <c r="CD23" i="1"/>
  <c r="CF23" i="1" s="1"/>
  <c r="CC23" i="1"/>
  <c r="CB23" i="1"/>
  <c r="CA23" i="1"/>
  <c r="BR23" i="1"/>
  <c r="CE21" i="1"/>
  <c r="CC21" i="1"/>
  <c r="BV21" i="1"/>
  <c r="BS21" i="1"/>
  <c r="CA21" i="1" s="1"/>
  <c r="CG30" i="1" l="1"/>
  <c r="CE30" i="1" s="1"/>
  <c r="CG34" i="1"/>
  <c r="CE34" i="1" s="1"/>
  <c r="CG26" i="1"/>
  <c r="CE26" i="1" s="1"/>
  <c r="CG45" i="1"/>
  <c r="CE45" i="1" s="1"/>
  <c r="CG52" i="1"/>
  <c r="CE52" i="1" s="1"/>
  <c r="CG32" i="1"/>
  <c r="CE32" i="1" s="1"/>
  <c r="CG37" i="1"/>
  <c r="CE37" i="1" s="1"/>
  <c r="CG47" i="1"/>
  <c r="CE47" i="1" s="1"/>
  <c r="CG48" i="1"/>
  <c r="CE48" i="1" s="1"/>
  <c r="CG23" i="1"/>
  <c r="CE23" i="1" s="1"/>
  <c r="CG27" i="1"/>
  <c r="CE27" i="1" s="1"/>
  <c r="CG28" i="1"/>
  <c r="CE28" i="1" s="1"/>
  <c r="CG43" i="1"/>
  <c r="CE43" i="1" s="1"/>
  <c r="CG49" i="1"/>
  <c r="CE49" i="1" s="1"/>
  <c r="CG29" i="1"/>
  <c r="CE29" i="1" s="1"/>
  <c r="CG50" i="1"/>
  <c r="CE50" i="1" s="1"/>
  <c r="CG35" i="1"/>
  <c r="CE35" i="1" s="1"/>
  <c r="CG44" i="1"/>
  <c r="CE44" i="1" s="1"/>
  <c r="CG25" i="1"/>
  <c r="CE25" i="1" s="1"/>
  <c r="CG40" i="1"/>
  <c r="CE40" i="1" s="1"/>
  <c r="CG51" i="1"/>
  <c r="CE51" i="1" s="1"/>
  <c r="BQ52" i="1"/>
  <c r="BN52" i="1" s="1"/>
  <c r="BZ31" i="1"/>
  <c r="BT31" i="1"/>
  <c r="BQ31" i="1" s="1"/>
  <c r="BQ23" i="1"/>
  <c r="BV23" i="1" s="1"/>
  <c r="BT30" i="1"/>
  <c r="BQ30" i="1" s="1"/>
  <c r="BW30" i="1" s="1"/>
  <c r="BZ33" i="1"/>
  <c r="BT34" i="1"/>
  <c r="BQ34" i="1" s="1"/>
  <c r="BP34" i="1" s="1"/>
  <c r="BQ33" i="1"/>
  <c r="BX33" i="1" s="1"/>
  <c r="BT29" i="1"/>
  <c r="BQ29" i="1" s="1"/>
  <c r="BQ44" i="1"/>
  <c r="BN44" i="1" s="1"/>
  <c r="BO45" i="1" s="1"/>
  <c r="BY30" i="1"/>
  <c r="BT41" i="1"/>
  <c r="BQ41" i="1" s="1"/>
  <c r="BQ47" i="1"/>
  <c r="BW47" i="1" s="1"/>
  <c r="BT43" i="1"/>
  <c r="BQ43" i="1" s="1"/>
  <c r="BZ43" i="1"/>
  <c r="BT49" i="1"/>
  <c r="BQ49" i="1" s="1"/>
  <c r="BZ49" i="1"/>
  <c r="BT48" i="1"/>
  <c r="BQ48" i="1" s="1"/>
  <c r="BZ48" i="1"/>
  <c r="BT50" i="1"/>
  <c r="BQ50" i="1" s="1"/>
  <c r="BU50" i="1" s="1"/>
  <c r="BZ50" i="1"/>
  <c r="BT46" i="1"/>
  <c r="BQ46" i="1" s="1"/>
  <c r="BZ46" i="1"/>
  <c r="BT27" i="1"/>
  <c r="BQ27" i="1" s="1"/>
  <c r="BY27" i="1"/>
  <c r="BT24" i="1"/>
  <c r="BQ24" i="1" s="1"/>
  <c r="BZ24" i="1"/>
  <c r="BN51" i="1"/>
  <c r="BO52" i="1" s="1"/>
  <c r="BV51" i="1"/>
  <c r="BT40" i="1"/>
  <c r="BQ40" i="1" s="1"/>
  <c r="BT28" i="1"/>
  <c r="BQ28" i="1" s="1"/>
  <c r="BT36" i="1"/>
  <c r="BQ36" i="1" s="1"/>
  <c r="BT38" i="1"/>
  <c r="BQ38" i="1" s="1"/>
  <c r="BZ40" i="1"/>
  <c r="BT42" i="1"/>
  <c r="BQ42" i="1" s="1"/>
  <c r="BZ45" i="1"/>
  <c r="BZ42" i="1"/>
  <c r="BZ29" i="1"/>
  <c r="BY34" i="1"/>
  <c r="BT37" i="1"/>
  <c r="BQ37" i="1" s="1"/>
  <c r="BT39" i="1"/>
  <c r="BQ39" i="1" s="1"/>
  <c r="BZ41" i="1"/>
  <c r="BZ44" i="1"/>
  <c r="BZ47" i="1"/>
  <c r="BZ36" i="1"/>
  <c r="BZ38" i="1"/>
  <c r="BZ37" i="1"/>
  <c r="BZ39" i="1"/>
  <c r="BQ45" i="1"/>
  <c r="BP45" i="1" s="1"/>
  <c r="BZ25" i="1"/>
  <c r="BY25" i="1"/>
  <c r="BT25" i="1"/>
  <c r="BQ25" i="1" s="1"/>
  <c r="BZ26" i="1"/>
  <c r="BY26" i="1"/>
  <c r="BT26" i="1"/>
  <c r="BQ26" i="1" s="1"/>
  <c r="BT35" i="1"/>
  <c r="BQ35" i="1" s="1"/>
  <c r="BZ35" i="1"/>
  <c r="BY35" i="1"/>
  <c r="BY24" i="1"/>
  <c r="CG39" i="1"/>
  <c r="CE39" i="1" s="1"/>
  <c r="BM33" i="1"/>
  <c r="BZ27" i="1"/>
  <c r="BM32" i="1"/>
  <c r="BM31" i="1"/>
  <c r="BY28" i="1"/>
  <c r="BY31" i="1"/>
  <c r="BY32" i="1"/>
  <c r="BT32" i="1"/>
  <c r="BQ32" i="1" s="1"/>
  <c r="CG36" i="1"/>
  <c r="CE36" i="1" s="1"/>
  <c r="BY23" i="1"/>
  <c r="BM34" i="1" s="1"/>
  <c r="BZ23" i="1"/>
  <c r="BM35" i="1" s="1"/>
  <c r="BZ32" i="1"/>
  <c r="BY33" i="1"/>
  <c r="CG38" i="1"/>
  <c r="CE38" i="1" s="1"/>
  <c r="BU51" i="1"/>
  <c r="BX51" i="1"/>
  <c r="BP51" i="1"/>
  <c r="BY43" i="1"/>
  <c r="BY44" i="1"/>
  <c r="BY45" i="1"/>
  <c r="BY46" i="1"/>
  <c r="BY47" i="1"/>
  <c r="BY48" i="1"/>
  <c r="BY49" i="1"/>
  <c r="BY50" i="1"/>
  <c r="BY51" i="1"/>
  <c r="BY52" i="1"/>
  <c r="BZ51" i="1"/>
  <c r="BZ52" i="1"/>
  <c r="BX52" i="1" l="1"/>
  <c r="BV52" i="1"/>
  <c r="BP52" i="1"/>
  <c r="BW52" i="1"/>
  <c r="BU52" i="1"/>
  <c r="BV34" i="1"/>
  <c r="BU34" i="1"/>
  <c r="BW34" i="1"/>
  <c r="BU31" i="1"/>
  <c r="BV31" i="1"/>
  <c r="BU23" i="1"/>
  <c r="BX23" i="1"/>
  <c r="BP23" i="1"/>
  <c r="BN23" i="1"/>
  <c r="BO24" i="1" s="1"/>
  <c r="BX34" i="1"/>
  <c r="BW23" i="1"/>
  <c r="BM36" i="1" s="1"/>
  <c r="BU28" i="1"/>
  <c r="BW28" i="1"/>
  <c r="BP28" i="1"/>
  <c r="BV28" i="1"/>
  <c r="BN28" i="1"/>
  <c r="BO29" i="1" s="1"/>
  <c r="BX28" i="1"/>
  <c r="BX47" i="1"/>
  <c r="BX30" i="1"/>
  <c r="BU30" i="1"/>
  <c r="BP30" i="1"/>
  <c r="BN30" i="1"/>
  <c r="BO31" i="1" s="1"/>
  <c r="BV30" i="1"/>
  <c r="BX43" i="1"/>
  <c r="BP43" i="1"/>
  <c r="BV43" i="1"/>
  <c r="BU43" i="1"/>
  <c r="BX46" i="1"/>
  <c r="BU46" i="1"/>
  <c r="BP46" i="1"/>
  <c r="BU33" i="1"/>
  <c r="BW33" i="1"/>
  <c r="BP44" i="1"/>
  <c r="BN33" i="1"/>
  <c r="BO34" i="1" s="1"/>
  <c r="BX44" i="1"/>
  <c r="BV33" i="1"/>
  <c r="BU44" i="1"/>
  <c r="BP33" i="1"/>
  <c r="BN34" i="1"/>
  <c r="BO35" i="1" s="1"/>
  <c r="BW44" i="1"/>
  <c r="BW29" i="1"/>
  <c r="BN29" i="1"/>
  <c r="BO30" i="1" s="1"/>
  <c r="BX29" i="1"/>
  <c r="BU29" i="1"/>
  <c r="BP29" i="1"/>
  <c r="BU49" i="1"/>
  <c r="BX49" i="1"/>
  <c r="BP49" i="1"/>
  <c r="BP47" i="1"/>
  <c r="BN31" i="1"/>
  <c r="BO32" i="1" s="1"/>
  <c r="BP50" i="1"/>
  <c r="BU47" i="1"/>
  <c r="BV47" i="1"/>
  <c r="BX50" i="1"/>
  <c r="BW31" i="1"/>
  <c r="BV44" i="1"/>
  <c r="BX31" i="1"/>
  <c r="BP31" i="1"/>
  <c r="BN47" i="1"/>
  <c r="BO48" i="1" s="1"/>
  <c r="BN40" i="1"/>
  <c r="BO41" i="1" s="1"/>
  <c r="BU40" i="1"/>
  <c r="BX40" i="1"/>
  <c r="BP40" i="1"/>
  <c r="BW40" i="1"/>
  <c r="BV40" i="1"/>
  <c r="BN48" i="1"/>
  <c r="BO49" i="1" s="1"/>
  <c r="BW48" i="1"/>
  <c r="BV48" i="1"/>
  <c r="BU48" i="1"/>
  <c r="BP48" i="1"/>
  <c r="BX48" i="1"/>
  <c r="BN42" i="1"/>
  <c r="BO43" i="1" s="1"/>
  <c r="BV42" i="1"/>
  <c r="BW42" i="1"/>
  <c r="BX42" i="1"/>
  <c r="BP42" i="1"/>
  <c r="BU42" i="1"/>
  <c r="BU37" i="1"/>
  <c r="BX37" i="1"/>
  <c r="BW37" i="1"/>
  <c r="BP37" i="1"/>
  <c r="BN37" i="1"/>
  <c r="BO38" i="1" s="1"/>
  <c r="BV37" i="1"/>
  <c r="BP38" i="1"/>
  <c r="BV38" i="1"/>
  <c r="BN38" i="1"/>
  <c r="BO39" i="1" s="1"/>
  <c r="BU38" i="1"/>
  <c r="BW38" i="1"/>
  <c r="BX38" i="1"/>
  <c r="BP36" i="1"/>
  <c r="BN36" i="1"/>
  <c r="BO37" i="1" s="1"/>
  <c r="BW36" i="1"/>
  <c r="BV36" i="1"/>
  <c r="BX36" i="1"/>
  <c r="BU36" i="1"/>
  <c r="BW50" i="1"/>
  <c r="BV50" i="1"/>
  <c r="BN50" i="1"/>
  <c r="BO51" i="1" s="1"/>
  <c r="BV49" i="1"/>
  <c r="BN49" i="1"/>
  <c r="BO50" i="1" s="1"/>
  <c r="BW49" i="1"/>
  <c r="BN45" i="1"/>
  <c r="BO46" i="1" s="1"/>
  <c r="BV45" i="1"/>
  <c r="BW45" i="1"/>
  <c r="BN46" i="1"/>
  <c r="BO47" i="1" s="1"/>
  <c r="BW46" i="1"/>
  <c r="BV46" i="1"/>
  <c r="BX45" i="1"/>
  <c r="BN43" i="1"/>
  <c r="BO44" i="1" s="1"/>
  <c r="BW43" i="1"/>
  <c r="BU45" i="1"/>
  <c r="BV29" i="1"/>
  <c r="BV35" i="1"/>
  <c r="BN35" i="1"/>
  <c r="BO36" i="1" s="1"/>
  <c r="BP35" i="1"/>
  <c r="BX35" i="1"/>
  <c r="BW35" i="1"/>
  <c r="BU35" i="1"/>
  <c r="BW32" i="1"/>
  <c r="BU32" i="1"/>
  <c r="BX32" i="1"/>
  <c r="BV32" i="1"/>
  <c r="BP32" i="1"/>
  <c r="BN32" i="1"/>
  <c r="BO33" i="1" s="1"/>
  <c r="BW24" i="1"/>
  <c r="BV24" i="1"/>
  <c r="BN24" i="1"/>
  <c r="BO25" i="1" s="1"/>
  <c r="BX24" i="1"/>
  <c r="BU24" i="1"/>
  <c r="BP24" i="1"/>
  <c r="BU39" i="1"/>
  <c r="BX39" i="1"/>
  <c r="BP39" i="1"/>
  <c r="BW39" i="1"/>
  <c r="BV39" i="1"/>
  <c r="BN39" i="1"/>
  <c r="BO40" i="1" s="1"/>
  <c r="BW25" i="1"/>
  <c r="BV25" i="1"/>
  <c r="BN25" i="1"/>
  <c r="BO26" i="1" s="1"/>
  <c r="BP25" i="1"/>
  <c r="BU25" i="1"/>
  <c r="BX25" i="1"/>
  <c r="BW26" i="1"/>
  <c r="BV26" i="1"/>
  <c r="BN26" i="1"/>
  <c r="BO27" i="1" s="1"/>
  <c r="BP26" i="1"/>
  <c r="BX26" i="1"/>
  <c r="BU26" i="1"/>
  <c r="BU41" i="1"/>
  <c r="BX41" i="1"/>
  <c r="BP41" i="1"/>
  <c r="BV41" i="1"/>
  <c r="BN41" i="1"/>
  <c r="BO42" i="1" s="1"/>
  <c r="BW41" i="1"/>
  <c r="BW27" i="1"/>
  <c r="BV27" i="1"/>
  <c r="BN27" i="1"/>
  <c r="BO28" i="1" s="1"/>
  <c r="BU27" i="1"/>
  <c r="BP27" i="1"/>
  <c r="BX27" i="1"/>
  <c r="BN22" i="1" l="1"/>
</calcChain>
</file>

<file path=xl/sharedStrings.xml><?xml version="1.0" encoding="utf-8"?>
<sst xmlns="http://schemas.openxmlformats.org/spreadsheetml/2006/main" count="45" uniqueCount="38">
  <si>
    <t>rate</t>
  </si>
  <si>
    <t>Percentage</t>
  </si>
  <si>
    <t>Capital</t>
  </si>
  <si>
    <t>Target</t>
  </si>
  <si>
    <t>at least lose</t>
  </si>
  <si>
    <t>worst</t>
  </si>
  <si>
    <t>Team Name</t>
  </si>
  <si>
    <t>SV Werder Bremen</t>
  </si>
  <si>
    <t>Round</t>
  </si>
  <si>
    <t>Amount</t>
  </si>
  <si>
    <t>ODD HID</t>
  </si>
  <si>
    <t>ODDS</t>
  </si>
  <si>
    <t>W/L</t>
  </si>
  <si>
    <t>PROFIT/LOSS</t>
  </si>
  <si>
    <t>Cum Profit</t>
  </si>
  <si>
    <t>won rate</t>
  </si>
  <si>
    <t>lost rate</t>
  </si>
  <si>
    <t>largest</t>
  </si>
  <si>
    <t>Middle</t>
  </si>
  <si>
    <t>minumum</t>
  </si>
  <si>
    <t>Doub. Ch.</t>
  </si>
  <si>
    <t>Odd %</t>
  </si>
  <si>
    <t>Strategy</t>
  </si>
  <si>
    <t>TOTAL REPORT</t>
  </si>
  <si>
    <t>won</t>
  </si>
  <si>
    <t>lost</t>
  </si>
  <si>
    <t>SKIP</t>
  </si>
  <si>
    <t>won streak rate</t>
  </si>
  <si>
    <t>lost streak rate</t>
  </si>
  <si>
    <t>MAXIMUM GAIN</t>
  </si>
  <si>
    <t>F. T. LEFT</t>
  </si>
  <si>
    <t>RESULT</t>
  </si>
  <si>
    <t>F. T. RIGHT</t>
  </si>
  <si>
    <t>F.T</t>
  </si>
  <si>
    <t>H.T. LEFT</t>
  </si>
  <si>
    <t>H.T RIGHT</t>
  </si>
  <si>
    <t>H.T</t>
  </si>
  <si>
    <t>HALF TIME BOTH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</si>
</sst>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2" fontId="2" fillId="0" borderId="0" xfId="0" applyNumberFormat="1" applyFont="1" applyProtection="1">
      <protection locked="0"/>
    </xf>
    <xf numFmtId="4" fontId="2" fillId="0" borderId="0" xfId="0" applyNumberFormat="1" applyFont="1"/>
    <xf numFmtId="0" fontId="4" fillId="2" borderId="0" xfId="0" applyFont="1" applyFill="1"/>
    <xf numFmtId="4" fontId="4" fillId="2" borderId="0" xfId="0" applyNumberFormat="1" applyFont="1" applyFill="1"/>
    <xf numFmtId="2" fontId="4" fillId="2" borderId="0" xfId="0" applyNumberFormat="1" applyFont="1" applyFill="1" applyProtection="1">
      <protection locked="0"/>
    </xf>
    <xf numFmtId="0" fontId="4" fillId="2" borderId="0" xfId="0" applyFont="1" applyFill="1" applyProtection="1">
      <protection locked="0"/>
    </xf>
    <xf numFmtId="4" fontId="4" fillId="2" borderId="0" xfId="0" applyNumberFormat="1" applyFont="1" applyFill="1" applyAlignment="1">
      <alignment horizontal="center"/>
    </xf>
    <xf numFmtId="4" fontId="5" fillId="2" borderId="0" xfId="0" applyNumberFormat="1" applyFont="1" applyFill="1"/>
    <xf numFmtId="4" fontId="3" fillId="3" borderId="0" xfId="0" applyNumberFormat="1" applyFont="1" applyFill="1"/>
    <xf numFmtId="0" fontId="3" fillId="3" borderId="0" xfId="0" applyFont="1" applyFill="1"/>
    <xf numFmtId="4" fontId="3" fillId="3" borderId="0" xfId="0" applyNumberFormat="1" applyFont="1" applyFill="1" applyAlignment="1">
      <alignment horizontal="right"/>
    </xf>
    <xf numFmtId="2" fontId="0" fillId="4" borderId="0" xfId="0" applyNumberFormat="1" applyFill="1"/>
    <xf numFmtId="4" fontId="6" fillId="4" borderId="0" xfId="0" applyNumberFormat="1" applyFont="1" applyFill="1"/>
    <xf numFmtId="4" fontId="1" fillId="0" borderId="0" xfId="0" applyNumberFormat="1" applyFont="1"/>
    <xf numFmtId="10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10" fontId="0" fillId="0" borderId="0" xfId="0" applyNumberFormat="1"/>
    <xf numFmtId="2" fontId="1" fillId="4" borderId="0" xfId="0" applyNumberFormat="1" applyFont="1" applyFill="1"/>
    <xf numFmtId="0" fontId="4" fillId="6" borderId="0" xfId="0" applyFont="1" applyFill="1"/>
    <xf numFmtId="0" fontId="2" fillId="5" borderId="0" xfId="0" applyFont="1" applyFill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204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  <color rgb="FFC0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C00000"/>
      </font>
    </dxf>
    <dxf>
      <font>
        <color rgb="FF00B050"/>
      </font>
      <fill>
        <patternFill>
          <bgColor rgb="FFFFFF99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FFFF9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3" tint="-0.499984740745262"/>
        </patternFill>
      </fill>
    </dxf>
    <dxf>
      <font>
        <color rgb="FFFFFF00"/>
      </font>
      <fill>
        <patternFill>
          <bgColor theme="3" tint="-0.49998474074526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/>
        </patternFill>
      </fill>
    </dxf>
    <dxf>
      <font>
        <b/>
        <i val="0"/>
        <color rgb="FFC00000"/>
      </font>
      <fill>
        <patternFill>
          <bgColor theme="9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0070C0"/>
      </font>
    </dxf>
    <dxf>
      <font>
        <color rgb="FF00B050"/>
      </font>
      <fill>
        <patternFill>
          <bgColor rgb="FFFFFF99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3" tint="-0.499984740745262"/>
        </patternFill>
      </fill>
    </dxf>
    <dxf>
      <font>
        <b/>
        <i val="0"/>
        <color rgb="FFC00000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PMATT\Documents\League_Results\MASTERS\BUNDESLIGA.xlsx" TargetMode="External"/><Relationship Id="rId1" Type="http://schemas.openxmlformats.org/officeDocument/2006/relationships/externalLinkPath" Target="/Users/TOPMATT/Documents/League_Results/MASTERS/BUNDESLI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Season 12684"/>
      <sheetName val="Sheet1"/>
      <sheetName val="Season 12722"/>
      <sheetName val="Season 12729"/>
      <sheetName val="Season 12736"/>
      <sheetName val="Season 13011"/>
      <sheetName val="Season 13020"/>
      <sheetName val="Season 13072"/>
      <sheetName val="Season 13267"/>
      <sheetName val="Season 13269"/>
      <sheetName val="Season 13270"/>
      <sheetName val="Season 13271"/>
      <sheetName val="Season 13291"/>
      <sheetName val="Season 13367"/>
      <sheetName val="Season 13368"/>
      <sheetName val="Season 13369"/>
      <sheetName val="Season 13372"/>
      <sheetName val="Season 13374"/>
      <sheetName val="Season 13378"/>
      <sheetName val="Season 13379"/>
      <sheetName val="Season 13383"/>
      <sheetName val="Season 13385"/>
      <sheetName val="Season 13386"/>
      <sheetName val="Season 13387"/>
      <sheetName val="Season 13390"/>
      <sheetName val="Season 13392"/>
      <sheetName val="Season 13393"/>
      <sheetName val="Season 13395"/>
      <sheetName val="Season 13398"/>
      <sheetName val="Season 13400"/>
      <sheetName val="Season 13405"/>
      <sheetName val="Season 13406"/>
      <sheetName val="Season 13407"/>
      <sheetName val="Season 13410"/>
      <sheetName val="Season 19227"/>
      <sheetName val="Season 19228"/>
      <sheetName val="Season 19229"/>
      <sheetName val="Season 19230"/>
      <sheetName val="Season 19231"/>
      <sheetName val="Season 19232"/>
      <sheetName val="Season 19233"/>
      <sheetName val="Season 19234"/>
      <sheetName val="Season 19235"/>
      <sheetName val="Season 19236"/>
      <sheetName val="Season 19238"/>
      <sheetName val="Season 19239"/>
      <sheetName val="Season 19240"/>
      <sheetName val="Season 19241"/>
      <sheetName val="Season 19243"/>
      <sheetName val="Season 19244"/>
      <sheetName val="Season 19245"/>
      <sheetName val="Season 19246"/>
      <sheetName val="Season 19247"/>
      <sheetName val="Season 19248"/>
      <sheetName val="Season 19249"/>
      <sheetName val="Season 19250"/>
      <sheetName val="Season 19251"/>
      <sheetName val="Season 19252"/>
      <sheetName val="Season 19253"/>
      <sheetName val="Season 19255"/>
      <sheetName val="Season 19257"/>
      <sheetName val="Season 19258"/>
      <sheetName val="Season 19260"/>
      <sheetName val="Season 19261"/>
      <sheetName val="Season 19262"/>
      <sheetName val="Season 19263"/>
      <sheetName val="Season 19264"/>
      <sheetName val="Season 19265"/>
      <sheetName val="Season 19266"/>
      <sheetName val="Season 19267"/>
      <sheetName val="Season 19268"/>
      <sheetName val="Season 19269"/>
      <sheetName val="Season 19270"/>
      <sheetName val="Season 19271"/>
      <sheetName val="Season 19275"/>
      <sheetName val="Season 19277"/>
      <sheetName val="Season 19278"/>
      <sheetName val="Season 19281"/>
      <sheetName val="Season 19282"/>
      <sheetName val="Season 19283"/>
      <sheetName val="Season 19284"/>
      <sheetName val="Season 19285"/>
      <sheetName val="Season 19286"/>
      <sheetName val="Season 19287"/>
      <sheetName val="Season 19288"/>
      <sheetName val="Season 19297"/>
      <sheetName val="Season 19298"/>
      <sheetName val="Season 19299"/>
      <sheetName val="Season 19300"/>
      <sheetName val="Season 19301"/>
      <sheetName val="Season 19302"/>
      <sheetName val="Season 19303"/>
      <sheetName val="Season 19304"/>
      <sheetName val="Season 19305"/>
      <sheetName val="Season 19306"/>
      <sheetName val="Season 19307"/>
      <sheetName val="Season 19308"/>
      <sheetName val="Season 19309"/>
      <sheetName val="Season 19310"/>
      <sheetName val="Season 19311"/>
      <sheetName val="Season 19312"/>
      <sheetName val="Season 19313"/>
      <sheetName val="Season 19315"/>
      <sheetName val="Season 19316"/>
      <sheetName val="Season 19317"/>
      <sheetName val="Season 19318"/>
      <sheetName val="Season 19319"/>
      <sheetName val="Season 19338"/>
      <sheetName val="Season 19339"/>
      <sheetName val="Season 19340"/>
      <sheetName val="Season 19341"/>
      <sheetName val="Season 19342"/>
      <sheetName val="Season 19344"/>
      <sheetName val="Season 19345"/>
      <sheetName val="Season 19346"/>
      <sheetName val="Season 19347"/>
      <sheetName val="Season 19357"/>
      <sheetName val="Season 19359"/>
      <sheetName val="Season 19360"/>
      <sheetName val="Season 19361"/>
      <sheetName val="Season 19362"/>
      <sheetName val="Season 19365"/>
      <sheetName val="Season 19366"/>
      <sheetName val="Season 19367"/>
      <sheetName val="Season 19368"/>
      <sheetName val="Season 19369"/>
      <sheetName val="Season 19370"/>
      <sheetName val="Season 19371"/>
      <sheetName val="Season 19372"/>
      <sheetName val="Season 19373"/>
      <sheetName val="Season 19374"/>
      <sheetName val="Season 19377"/>
      <sheetName val="Season 19378"/>
      <sheetName val="Season 19379"/>
      <sheetName val="Season 19380"/>
      <sheetName val="Season 19381"/>
      <sheetName val="Season 19382"/>
      <sheetName val="Season 19383"/>
      <sheetName val="Season 19384"/>
      <sheetName val="Season 19385"/>
      <sheetName val="Season 19386"/>
      <sheetName val="Season 19387"/>
      <sheetName val="Season 19388"/>
      <sheetName val="Season 19389"/>
      <sheetName val="Season 19391"/>
    </sheetNames>
    <sheetDataSet>
      <sheetData sheetId="0">
        <row r="21">
          <cell r="B21">
            <v>0.02</v>
          </cell>
        </row>
        <row r="22">
          <cell r="B22">
            <v>5000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L21:CS52"/>
  <sheetViews>
    <sheetView tabSelected="1" topLeftCell="AN16" workbookViewId="0">
      <selection activeCell="BM23" sqref="BM23"/>
    </sheetView>
  </sheetViews>
  <sheetFormatPr defaultRowHeight="15" x14ac:dyDescent="0.25"/>
  <sheetData>
    <row r="21" spans="64:97" x14ac:dyDescent="0.25">
      <c r="BN21" s="1"/>
      <c r="BO21" s="2" t="s">
        <v>0</v>
      </c>
      <c r="BP21" s="3">
        <v>3</v>
      </c>
      <c r="BQ21" s="4"/>
      <c r="BR21" s="5" t="s">
        <v>1</v>
      </c>
      <c r="BS21" s="26">
        <f>[1]MASTER!B21</f>
        <v>0.02</v>
      </c>
      <c r="BU21" s="6" t="s">
        <v>2</v>
      </c>
      <c r="BV21">
        <f>[1]MASTER!B22</f>
        <v>5000</v>
      </c>
      <c r="BW21" s="6"/>
      <c r="BX21" s="2" t="s">
        <v>3</v>
      </c>
      <c r="BY21" s="2"/>
      <c r="BZ21" s="2"/>
      <c r="CA21" s="6">
        <f>(BV21*BS21)*BP21+BV21</f>
        <v>5300</v>
      </c>
      <c r="CB21" s="1" t="s">
        <v>4</v>
      </c>
      <c r="CC21" s="6">
        <f>BV21*-0.1</f>
        <v>-500</v>
      </c>
      <c r="CD21" s="1" t="s">
        <v>5</v>
      </c>
      <c r="CE21" s="1">
        <f>BV21*-0.3</f>
        <v>-1500</v>
      </c>
    </row>
    <row r="22" spans="64:97" x14ac:dyDescent="0.25">
      <c r="BL22" t="s">
        <v>6</v>
      </c>
      <c r="BM22" t="s">
        <v>7</v>
      </c>
      <c r="BN22" s="7" t="str">
        <f ca="1">IF(MIN(BN23:BN52)&lt;0,"Bankruptcy","Balance")</f>
        <v>Balance</v>
      </c>
      <c r="BO22" s="7" t="s">
        <v>8</v>
      </c>
      <c r="BP22" s="8" t="s">
        <v>9</v>
      </c>
      <c r="BQ22" s="8" t="s">
        <v>10</v>
      </c>
      <c r="BR22" s="9" t="s">
        <v>11</v>
      </c>
      <c r="BS22" s="9"/>
      <c r="BT22" s="10" t="s">
        <v>12</v>
      </c>
      <c r="BU22" s="11" t="s">
        <v>3</v>
      </c>
      <c r="BV22" s="12" t="s">
        <v>13</v>
      </c>
      <c r="BW22" s="8" t="s">
        <v>14</v>
      </c>
      <c r="BX22" s="7" t="s">
        <v>1</v>
      </c>
      <c r="BY22" s="7" t="s">
        <v>15</v>
      </c>
      <c r="BZ22" s="7" t="s">
        <v>16</v>
      </c>
      <c r="CA22" s="7" t="s">
        <v>17</v>
      </c>
      <c r="CB22" s="7" t="s">
        <v>18</v>
      </c>
      <c r="CC22" s="7" t="s">
        <v>19</v>
      </c>
      <c r="CD22" s="7"/>
      <c r="CE22" s="7" t="s">
        <v>20</v>
      </c>
      <c r="CF22" s="7"/>
      <c r="CG22" s="7" t="s">
        <v>21</v>
      </c>
      <c r="CH22" s="7" t="s">
        <v>30</v>
      </c>
      <c r="CI22" s="7" t="s">
        <v>31</v>
      </c>
      <c r="CJ22" s="7" t="s">
        <v>32</v>
      </c>
      <c r="CK22" s="7" t="s">
        <v>31</v>
      </c>
      <c r="CL22" s="7" t="s">
        <v>33</v>
      </c>
      <c r="CM22" s="7" t="s">
        <v>31</v>
      </c>
      <c r="CN22" s="7" t="s">
        <v>34</v>
      </c>
      <c r="CO22" s="7" t="s">
        <v>31</v>
      </c>
      <c r="CP22" s="7" t="s">
        <v>35</v>
      </c>
      <c r="CQ22" s="7" t="s">
        <v>31</v>
      </c>
      <c r="CR22" s="7" t="s">
        <v>36</v>
      </c>
      <c r="CS22" s="7" t="s">
        <v>31</v>
      </c>
    </row>
    <row r="23" spans="64:97" x14ac:dyDescent="0.25">
      <c r="BL23" t="s">
        <v>22</v>
      </c>
      <c r="BM23" t="s">
        <v>37</v>
      </c>
      <c r="BN23" s="13" t="str">
        <f ca="1">IFERROR(IF(OR(BQ23=""),"",IF(BT23="SKIP",BV21,BV21-BP23)),"")</f>
        <v/>
      </c>
      <c r="BO23" s="14">
        <v>1</v>
      </c>
      <c r="BP23" s="15" t="str">
        <f t="shared" ref="BP23:BP52" ca="1" si="0">IFERROR(IF(BQ23="","",IF(BT23="SKIP","NO BET",BU23/(BQ23-1))),"")</f>
        <v/>
      </c>
      <c r="BQ23" s="15" t="e">
        <f t="shared" ref="BQ23:BQ52" ca="1" si="1">IF(AND(BR23="",BT23=""),"",IF(AND(BR23="",OR(BT23="WON",BT23="LOST")),"",IF(OR(BT23="WON",BT23="LOST"),BR23,1.4)))</f>
        <v>#N/A</v>
      </c>
      <c r="BR23" s="16" t="e">
        <f>IF($BM$23="FOCUS",CC23,IF($BM$23="SPLIT",CE23,IF($BM$23="FULL TIME LEFT",CH23,IF($BM$23="FULL TIME RIGHT",CJ23,IF($BM$23="FULL TIME BOTH SIDE",CL23,IF($BM$23="HALF TIME LEFT",CN23,IF($BM$23="HALF TIME RIGHT",CP23,IF($BM$23="HALF TIME BOTH SIDE",CR23))))))))</f>
        <v>#N/A</v>
      </c>
      <c r="BS23" t="e">
        <f ca="1">IF($BM$23="FOCUS",CD23,IF($BM$23="SPLIT",CF23,IF($BM$23="FULL TIME LEFT",CI23,IF($BM$23="FULL TIME RIGHT",CK23,IF($BM$23="FULL TIME BOTH SIDE",CM23,IF($BM$23="HALF TIME LEFT",CO23,IF($BM$23="HALF TIME RIGHT",CQ23,IF($BM$23="HALF TIME BOTH SIDE",CS23))))))))</f>
        <v>#NAME?</v>
      </c>
      <c r="BT23" t="e">
        <f t="shared" ref="BT23:BT52" ca="1" si="2">IF(BS23="","LOST",BS23)</f>
        <v>#NAME?</v>
      </c>
      <c r="BU23" s="17" t="e">
        <f ca="1">IF(BQ23="","",BV21*BS21)</f>
        <v>#N/A</v>
      </c>
      <c r="BV23" s="18" t="e">
        <f ca="1">IF(BQ23="","",BW23-BV21)</f>
        <v>#N/A</v>
      </c>
      <c r="BW23" s="18" t="e">
        <f ca="1">IF(BQ23="","",IF(BT23="SKIP",BV21,IF(BT23="won",BU23+BV21,BV21-BP23)))</f>
        <v>#N/A</v>
      </c>
      <c r="BX23" s="19" t="e">
        <f ca="1">IF(BQ23="","",(BW23-BV21)/BV21)</f>
        <v>#N/A</v>
      </c>
      <c r="BY23" s="20" t="e">
        <f ca="1">IF(BS23="WON",1,0)</f>
        <v>#NAME?</v>
      </c>
      <c r="BZ23" s="20" t="e">
        <f ca="1">IF(BS23="LOST",1,0)</f>
        <v>#NAME?</v>
      </c>
      <c r="CA23" t="e">
        <f>MAX(INDEX($D:$F, VLOOKUP($BM$22,$A$1:$BN$17,66,), ))</f>
        <v>#N/A</v>
      </c>
      <c r="CB23" t="e">
        <f>LARGE(INDEX($D:$F, VLOOKUP($BM$22,$A$1:$BN$17,66,), ),2)</f>
        <v>#N/A</v>
      </c>
      <c r="CC23" s="16" t="e">
        <f>MIN(INDEX($D:$F, VLOOKUP($BM$22,$A$1:$BN$17,66,), ))</f>
        <v>#N/A</v>
      </c>
      <c r="CD23" t="e">
        <f>IF(VLOOKUP($BM$22,$A$1:$BN$17,4,FALSE)="yes","WON","LOST")</f>
        <v>#N/A</v>
      </c>
      <c r="CE23" s="21" t="e">
        <f>1+((1-(CG23))/CG23)</f>
        <v>#N/A</v>
      </c>
      <c r="CF23" s="21" t="e">
        <f>IF(CD23="WON","LOST",IF(CD23="LOST","WON"))</f>
        <v>#N/A</v>
      </c>
      <c r="CG23" s="22" t="e">
        <f>(1/CA23)+(1/CB23)</f>
        <v>#N/A</v>
      </c>
      <c r="CH23" t="e">
        <f>INDEX(E22:E29,MATCH(MAX(D22:D29),D22:D29,0))</f>
        <v>#N/A</v>
      </c>
      <c r="CI23" t="e">
        <f ca="1">CheckCellColor(INDEX(E22:E29,MATCH(MAX(D22:D29),D22:D29,0)))</f>
        <v>#NAME?</v>
      </c>
      <c r="CJ23" t="e">
        <f>INDEX(E22:E29,MATCH(MAX(F22:F29),F22:F29,0))</f>
        <v>#N/A</v>
      </c>
      <c r="CK23" t="e">
        <f ca="1">CheckCellColor(INDEX(E22:E29,MATCH(MAX(F22:F29),F22:F29,0)))</f>
        <v>#NAME?</v>
      </c>
      <c r="CL23" t="e">
        <f>IF(MAX(D22:D29)&gt;MAX(F22:F29),INDEX(E22:E29,MATCH(MAX(D22:D29),D22:D29,0)),INDEX(E22:E29,MATCH(MAX(F22:F29),F22:F29,0)))</f>
        <v>#N/A</v>
      </c>
      <c r="CM23" t="e">
        <f ca="1">CheckCellColor(IF(MAX(D22:D29)&gt;MAX(F22:F29),INDEX(E22:E29,MATCH(MAX(D22:D29),D22:D29,0)),INDEX(E22:E29,MATCH(MAX(F22:F29),F22:F29,0))))</f>
        <v>#NAME?</v>
      </c>
      <c r="CN23" t="e">
        <f>INDEX(I22:I29,MATCH(MAX(H22:H29),H22:H29,0))</f>
        <v>#N/A</v>
      </c>
      <c r="CO23" t="e">
        <f ca="1">CheckCellColor(INDEX(I22:I29,MATCH(MAX(H22:H29),H22:H29,0)))</f>
        <v>#NAME?</v>
      </c>
      <c r="CP23" t="e">
        <f>INDEX(I22:I29,MATCH(MAX(J22:J29),J22:J29,0))</f>
        <v>#N/A</v>
      </c>
      <c r="CQ23" t="e">
        <f ca="1">CheckCellColor(INDEX(I22:I29,MATCH(MAX(J22:J29),J22:J29,0)))</f>
        <v>#NAME?</v>
      </c>
      <c r="CR23" t="e">
        <f>IF(MAX(H22:H29)&gt;MAX(J22:J29),INDEX(I22:I29,MATCH(MAX(H22:H29),H22:H29,0)),INDEX(I22:I29,MATCH(MAX(J22:J29),J22:J29,0)))</f>
        <v>#N/A</v>
      </c>
      <c r="CS23" t="e">
        <f ca="1">CheckCellColor(IF(MAX(H22:H29)&gt;MAX(J22:J29),INDEX(I22:I29,MATCH(MAX(H22:H29),H22:H29,0)),INDEX(I22:I29,MATCH(MAX(J22:J29),J22:J29,0))))</f>
        <v>#NAME?</v>
      </c>
    </row>
    <row r="24" spans="64:97" x14ac:dyDescent="0.25">
      <c r="BN24" s="13" t="str">
        <f t="shared" ref="BN24:BN52" ca="1" si="3">IFERROR(IF(BQ24="","",IF(BT24="SKIP",BN23,BW23-BP24)),"")</f>
        <v/>
      </c>
      <c r="BO24" s="14" t="str">
        <f t="shared" ref="BO24:BO52" ca="1" si="4">IF(BN23&lt;&gt;"",BO23+1,"")</f>
        <v/>
      </c>
      <c r="BP24" s="15" t="str">
        <f t="shared" ca="1" si="0"/>
        <v/>
      </c>
      <c r="BQ24" s="15" t="e">
        <f t="shared" ca="1" si="1"/>
        <v>#N/A</v>
      </c>
      <c r="BR24" s="16" t="e">
        <f t="shared" ref="BR24:BS52" si="5">IF($BM$23="FOCUS",CC24,IF($BM$23="SPLIT",CE24,IF($BM$23="FULL TIME LEFT",CH24,IF($BM$23="FULL TIME RIGHT",CJ24,IF($BM$23="FULL TIME BOTH SIDE",CL24,IF($BM$23="HALF TIME LEFT",CN24,IF($BM$23="HALF TIME RIGHT",CP24,IF($BM$23="HALF TIME BOTH SIDE",CR24))))))))</f>
        <v>#N/A</v>
      </c>
      <c r="BS24" t="e">
        <f t="shared" ca="1" si="5"/>
        <v>#NAME?</v>
      </c>
      <c r="BT24" t="e">
        <f t="shared" ca="1" si="2"/>
        <v>#NAME?</v>
      </c>
      <c r="BU24" s="17" t="str">
        <f ca="1">IFERROR(IF(BQ24="","",IF(BT23="SKIP",BU23,IF(BT23="LOST",BP23+BU23,BW23*BS21))),"")</f>
        <v/>
      </c>
      <c r="BV24" s="18" t="str">
        <f ca="1">IFERROR(IF(BQ24="","",IF(BT24="SKIP",BV23,BW24-BV21)),"")</f>
        <v/>
      </c>
      <c r="BW24" s="18" t="str">
        <f t="shared" ref="BW24:BW52" ca="1" si="6">IFERROR(IF(BQ24="","",IF(BT24="SKIP",BW23,IF(BT24="Won",BU24+BW23,BW23-BP24))),"")</f>
        <v/>
      </c>
      <c r="BX24" s="19" t="str">
        <f ca="1">IFERROR(IF(BQ24="","",IF(BT24="SKIP",BX23,(BW24-BV21)/BV21)),"")</f>
        <v/>
      </c>
      <c r="BY24" s="20" t="e">
        <f t="shared" ref="BY24:BY52" ca="1" si="7">IF(BS24="WON",BY23+1,0)</f>
        <v>#NAME?</v>
      </c>
      <c r="BZ24" s="20" t="e">
        <f t="shared" ref="BZ24:BZ52" ca="1" si="8">IF(BS24="LOST",BZ23+1,0)</f>
        <v>#NAME?</v>
      </c>
      <c r="CA24" t="e">
        <f>MAX(INDEX($D:$F, VLOOKUP($BM$22,$A$1:$BO$17,67,), ))</f>
        <v>#N/A</v>
      </c>
      <c r="CB24" t="e">
        <f>LARGE(INDEX($D:$F, VLOOKUP($BM$22,$A$1:$BO$17,67,), ),2)</f>
        <v>#N/A</v>
      </c>
      <c r="CC24" s="16" t="e">
        <f>MIN(INDEX($D:$F, VLOOKUP($BM$22,$A$1:$BO$17,67,), ))</f>
        <v>#N/A</v>
      </c>
      <c r="CD24" t="e">
        <f>IF(VLOOKUP($BM$22,$A$1:$BO$17,5,FALSE)="yes","WON","LOST")</f>
        <v>#N/A</v>
      </c>
      <c r="CE24" s="21" t="e">
        <f t="shared" ref="CE24:CE52" si="9">1+((1-(CG24))/CG24)</f>
        <v>#N/A</v>
      </c>
      <c r="CF24" s="21" t="e">
        <f t="shared" ref="CF24:CF52" si="10">IF(CD24="WON","LOST",IF(CD24="LOST","WON"))</f>
        <v>#N/A</v>
      </c>
      <c r="CG24" s="22" t="e">
        <f t="shared" ref="CG24:CG52" si="11">(1/CA24)+(1/CB24)</f>
        <v>#N/A</v>
      </c>
      <c r="CH24" t="e">
        <f>INDEX(E34:E41,MATCH(MAX(D34:D41),D34:D41,0))</f>
        <v>#N/A</v>
      </c>
      <c r="CI24" t="e">
        <f ca="1">CheckCellColor(INDEX(E34:E41,MATCH(MAX(D34:D41),D34:D41,0)))</f>
        <v>#NAME?</v>
      </c>
      <c r="CJ24" t="e">
        <f>INDEX(E34:E41,MATCH(MAX(F34:F41),F34:F41,0))</f>
        <v>#N/A</v>
      </c>
      <c r="CK24" t="e">
        <f ca="1">CheckCellColor(INDEX(E34:E41,MATCH(MAX(F34:F41),F34:F41,0)))</f>
        <v>#NAME?</v>
      </c>
      <c r="CL24" t="e">
        <f>IF(MAX(D34:D41)&gt;MAX(F34:F41),INDEX(E34:E41,MATCH(MAX(D34:D41),D34:D41,0)),INDEX(E34:E41,MATCH(MAX(F34:F41),F34:F41,0)))</f>
        <v>#N/A</v>
      </c>
      <c r="CM24" t="e">
        <f ca="1">CheckCellColor(IF(MAX(D34:D41)&gt;MAX(F34:F41),INDEX(E34:E41,MATCH(MAX(D34:D41),D34:D41,0)),INDEX(E34:E41,MATCH(MAX(F34:F41),F34:F41,0))))</f>
        <v>#NAME?</v>
      </c>
      <c r="CN24" t="e">
        <f>INDEX(I34:I41,MATCH(MAX(H34:H41),H34:H41,0))</f>
        <v>#N/A</v>
      </c>
      <c r="CO24" t="e">
        <f ca="1">CheckCellColor(INDEX(I34:I41,MATCH(MAX(H34:H41),H34:H41,0)))</f>
        <v>#NAME?</v>
      </c>
      <c r="CP24" t="e">
        <f>INDEX(I34:I41,MATCH(MAX(J34:J41),J34:J41,0))</f>
        <v>#N/A</v>
      </c>
      <c r="CQ24" t="e">
        <f ca="1">CheckCellColor(INDEX(I34:I41,MATCH(MAX(J34:J41),J34:J41,0)))</f>
        <v>#NAME?</v>
      </c>
      <c r="CR24" t="e">
        <f>IF(MAX(H34:H41)&gt;MAX(J34:J41),INDEX(I34:I41,MATCH(MAX(H34:H41),H34:H41,0)),INDEX(I34:I41,MATCH(MAX(J34:J41),J34:J41,0)))</f>
        <v>#N/A</v>
      </c>
      <c r="CS24" t="e">
        <f ca="1">CheckCellColor(IF(MAX(H34:H41)&gt;MAX(J34:J41),INDEX(I34:I41,MATCH(MAX(H34:H41),H34:H41,0)),INDEX(I34:I41,MATCH(MAX(J34:J41),J34:J41,0))))</f>
        <v>#NAME?</v>
      </c>
    </row>
    <row r="25" spans="64:97" x14ac:dyDescent="0.25">
      <c r="BN25" s="13" t="str">
        <f t="shared" ca="1" si="3"/>
        <v/>
      </c>
      <c r="BO25" s="14" t="str">
        <f t="shared" ca="1" si="4"/>
        <v/>
      </c>
      <c r="BP25" s="15" t="str">
        <f t="shared" ca="1" si="0"/>
        <v/>
      </c>
      <c r="BQ25" s="15" t="e">
        <f t="shared" ca="1" si="1"/>
        <v>#N/A</v>
      </c>
      <c r="BR25" s="16" t="e">
        <f t="shared" si="5"/>
        <v>#N/A</v>
      </c>
      <c r="BS25" t="e">
        <f t="shared" ca="1" si="5"/>
        <v>#NAME?</v>
      </c>
      <c r="BT25" t="e">
        <f t="shared" ca="1" si="2"/>
        <v>#NAME?</v>
      </c>
      <c r="BU25" s="17" t="str">
        <f ca="1">IFERROR(IF(BQ25="","",IF(BT24="SKIP",BU24,IF(BT24="LOST",BP24+BU24,BW24*BS21))),"")</f>
        <v/>
      </c>
      <c r="BV25" s="18" t="str">
        <f ca="1">IFERROR(IF(BQ25="","",IF(BT25="SKIP",BV24,BW25-BV21)),"")</f>
        <v/>
      </c>
      <c r="BW25" s="18" t="str">
        <f t="shared" ca="1" si="6"/>
        <v/>
      </c>
      <c r="BX25" s="19" t="str">
        <f ca="1">IFERROR(IF(BQ25="","",IF(BT25="SKIP",BX24,(BW25-BV21)/BV21)),"")</f>
        <v/>
      </c>
      <c r="BY25" s="20" t="e">
        <f t="shared" ca="1" si="7"/>
        <v>#NAME?</v>
      </c>
      <c r="BZ25" s="20" t="e">
        <f t="shared" ca="1" si="8"/>
        <v>#NAME?</v>
      </c>
      <c r="CA25" s="1" t="e">
        <f>MAX(INDEX($D:$F, VLOOKUP($BM$22,$A$1:$BP$17,68,), ))</f>
        <v>#N/A</v>
      </c>
      <c r="CB25" t="e">
        <f>LARGE(INDEX($D:$F, VLOOKUP($BM$22,$A$1:$BP$17,68,), ),2)</f>
        <v>#N/A</v>
      </c>
      <c r="CC25" s="16" t="e">
        <f>MIN(INDEX($D:$F, VLOOKUP($BM$22,$A$1:$BP$17,68,), ))</f>
        <v>#N/A</v>
      </c>
      <c r="CD25" t="e">
        <f>IF(VLOOKUP($BM$22,$A$1:$BP$17,6,FALSE)="yes","WON","LOST")</f>
        <v>#N/A</v>
      </c>
      <c r="CE25" s="21" t="e">
        <f t="shared" si="9"/>
        <v>#N/A</v>
      </c>
      <c r="CF25" s="21" t="e">
        <f t="shared" si="10"/>
        <v>#N/A</v>
      </c>
      <c r="CG25" s="22" t="e">
        <f t="shared" si="11"/>
        <v>#N/A</v>
      </c>
      <c r="CH25" t="e">
        <f>INDEX(E46:E53,MATCH(MAX(D46:D53),D46:D53,0))</f>
        <v>#N/A</v>
      </c>
      <c r="CI25" t="e">
        <f ca="1">CheckCellColor(INDEX(E46:E53,MATCH(MAX(D46:D53),D46:D53,0)))</f>
        <v>#NAME?</v>
      </c>
      <c r="CJ25" t="e">
        <f>INDEX(E46:E53,MATCH(MAX(F46:F53),F46:F53,0))</f>
        <v>#N/A</v>
      </c>
      <c r="CK25" t="e">
        <f ca="1">CheckCellColor(INDEX(E46:E53,MATCH(MAX(F46:F53),F46:F53,0)))</f>
        <v>#NAME?</v>
      </c>
      <c r="CL25" t="e">
        <f>IF(MAX(D46:D53)&gt;MAX(F46:F53),INDEX(E46:E53,MATCH(MAX(D46:D53),D46:D53,0)),INDEX(E46:E53,MATCH(MAX(F46:F53),F46:F53,0)))</f>
        <v>#N/A</v>
      </c>
      <c r="CM25" t="e">
        <f ca="1">CheckCellColor(IF(MAX(D46:D53)&gt;MAX(F46:F53),INDEX(E46:E53,MATCH(MAX(D46:D53),D46:D53,0)),INDEX(E46:E53,MATCH(MAX(F46:F53),F46:F53,0))))</f>
        <v>#NAME?</v>
      </c>
      <c r="CN25" t="e">
        <f>INDEX(I46:I53,MATCH(MAX(H46:H53),H46:H53,0))</f>
        <v>#N/A</v>
      </c>
      <c r="CO25" t="e">
        <f ca="1">CheckCellColor(INDEX(I46:I53,MATCH(MAX(H46:H53),H46:H53,0)))</f>
        <v>#NAME?</v>
      </c>
      <c r="CP25" t="e">
        <f>INDEX(I46:I53,MATCH(MAX(J46:J53),J46:J53,0))</f>
        <v>#N/A</v>
      </c>
      <c r="CQ25" t="e">
        <f ca="1">CheckCellColor(INDEX(I46:I53,MATCH(MAX(J46:J53),J46:J53,0)))</f>
        <v>#NAME?</v>
      </c>
      <c r="CR25" t="e">
        <f>IF(MAX(H46:H53)&gt;MAX(J46:J53),INDEX(I46:I53,MATCH(MAX(H46:H53),H46:H53,0)),INDEX(I46:I53,MATCH(MAX(J46:J53),J46:J53,0)))</f>
        <v>#N/A</v>
      </c>
      <c r="CS25" t="e">
        <f ca="1">CheckCellColor(IF(MAX(H46:H53)&gt;MAX(J46:J53),INDEX(I46:I53,MATCH(MAX(H46:H53),H46:H53,0)),INDEX(I46:I53,MATCH(MAX(J46:J53),J46:J53,0))))</f>
        <v>#NAME?</v>
      </c>
    </row>
    <row r="26" spans="64:97" x14ac:dyDescent="0.25">
      <c r="BN26" s="13" t="str">
        <f t="shared" ca="1" si="3"/>
        <v/>
      </c>
      <c r="BO26" s="14" t="str">
        <f t="shared" ca="1" si="4"/>
        <v/>
      </c>
      <c r="BP26" s="15" t="str">
        <f t="shared" ca="1" si="0"/>
        <v/>
      </c>
      <c r="BQ26" s="15" t="e">
        <f t="shared" ca="1" si="1"/>
        <v>#N/A</v>
      </c>
      <c r="BR26" s="16" t="e">
        <f t="shared" si="5"/>
        <v>#N/A</v>
      </c>
      <c r="BS26" t="e">
        <f t="shared" ca="1" si="5"/>
        <v>#NAME?</v>
      </c>
      <c r="BT26" t="e">
        <f t="shared" ca="1" si="2"/>
        <v>#NAME?</v>
      </c>
      <c r="BU26" s="17" t="str">
        <f ca="1">IFERROR(IF(BQ26="","",IF(BT25="SKIP",BU25,IF(BT25="LOST",BP25+BU25,BW25*BS21))),"")</f>
        <v/>
      </c>
      <c r="BV26" s="18" t="str">
        <f ca="1">IFERROR(IF(BQ26="","",IF(BT26="SKIP",BV25,BW26-BV21)),"")</f>
        <v/>
      </c>
      <c r="BW26" s="18" t="str">
        <f t="shared" ca="1" si="6"/>
        <v/>
      </c>
      <c r="BX26" s="19" t="str">
        <f ca="1">IFERROR(IF(BQ26="","",IF(BT26="SKIP",BX25,(BW26-BV21)/BV21)),"")</f>
        <v/>
      </c>
      <c r="BY26" s="20" t="e">
        <f t="shared" ca="1" si="7"/>
        <v>#NAME?</v>
      </c>
      <c r="BZ26" s="20" t="e">
        <f t="shared" ca="1" si="8"/>
        <v>#NAME?</v>
      </c>
      <c r="CA26" s="23" t="e">
        <f>MAX(INDEX($D:$F, VLOOKUP($BM$22,$A$1:$BQ$17,69,), ))</f>
        <v>#N/A</v>
      </c>
      <c r="CB26" s="23" t="e">
        <f>LARGE(INDEX($D:$F, VLOOKUP($BM$22,$A$1:$BQ$17,69,), ),2)</f>
        <v>#N/A</v>
      </c>
      <c r="CC26" s="23" t="e">
        <f>MIN(INDEX($D:$F, VLOOKUP($BM$22,$A$1:$BQ$17,69,), ))</f>
        <v>#N/A</v>
      </c>
      <c r="CD26" t="e">
        <f>IF(VLOOKUP($BM$22,$A$1:$BQ$17,7,FALSE)="yes","WON","LOST")</f>
        <v>#N/A</v>
      </c>
      <c r="CE26" s="21" t="e">
        <f t="shared" si="9"/>
        <v>#N/A</v>
      </c>
      <c r="CF26" s="21" t="e">
        <f t="shared" si="10"/>
        <v>#N/A</v>
      </c>
      <c r="CG26" s="22" t="e">
        <f t="shared" si="11"/>
        <v>#N/A</v>
      </c>
      <c r="CH26" t="e">
        <f>INDEX(E58:E65,MATCH(MAX(D58:D65),D58:D65,0))</f>
        <v>#N/A</v>
      </c>
      <c r="CI26" t="e">
        <f ca="1">CheckCellColor(INDEX(E58:E65,MATCH(MAX(D58:D65),D58:D65,0)))</f>
        <v>#NAME?</v>
      </c>
      <c r="CJ26" t="e">
        <f>INDEX(E58:E65,MATCH(MAX(F58:F65),F58:F65,0))</f>
        <v>#N/A</v>
      </c>
      <c r="CK26" t="e">
        <f ca="1">CheckCellColor(INDEX(E58:E65,MATCH(MAX(F58:F65),F58:F65,0)))</f>
        <v>#NAME?</v>
      </c>
      <c r="CL26" t="e">
        <f>IF(MAX(D58:D65)&gt;MAX(F58:F65),INDEX(E58:E65,MATCH(MAX(D58:D65),D58:D65,0)),INDEX(E58:E65,MATCH(MAX(F58:F65),F58:F65,0)))</f>
        <v>#N/A</v>
      </c>
      <c r="CM26" t="e">
        <f ca="1">CheckCellColor(IF(MAX(D58:D65)&gt;MAX(F58:F65),INDEX(E58:E65,MATCH(MAX(D58:D65),D58:D65,0)),INDEX(E58:E65,MATCH(MAX(F58:F65),F58:F65,0))))</f>
        <v>#NAME?</v>
      </c>
      <c r="CN26" t="e">
        <f>INDEX(I58:I65,MATCH(MAX(H58:H65),H58:H65,0))</f>
        <v>#N/A</v>
      </c>
      <c r="CO26" t="e">
        <f ca="1">CheckCellColor(INDEX(I58:I65,MATCH(MAX(H58:H65),H58:H65,0)))</f>
        <v>#NAME?</v>
      </c>
      <c r="CP26" t="e">
        <f>INDEX(I58:I65,MATCH(MAX(J58:J65),J58:J65,0))</f>
        <v>#N/A</v>
      </c>
      <c r="CQ26" t="e">
        <f ca="1">CheckCellColor(INDEX(I58:I65,MATCH(MAX(J58:J65),J58:J65,0)))</f>
        <v>#NAME?</v>
      </c>
      <c r="CR26" t="e">
        <f>IF(MAX(H58:H65)&gt;MAX(J58:J65),INDEX(I58:I65,MATCH(MAX(H58:H65),H58:H65,0)),INDEX(I58:I65,MATCH(MAX(J58:J65),J58:J65,0)))</f>
        <v>#N/A</v>
      </c>
      <c r="CS26" t="e">
        <f ca="1">CheckCellColor(IF(MAX(H58:H65)&gt;MAX(J58:J65),INDEX(I58:I65,MATCH(MAX(H58:H65),H58:H65,0)),INDEX(I58:I65,MATCH(MAX(J58:J65),J58:J65,0))))</f>
        <v>#NAME?</v>
      </c>
    </row>
    <row r="27" spans="64:97" x14ac:dyDescent="0.25">
      <c r="BN27" s="13" t="str">
        <f t="shared" ca="1" si="3"/>
        <v/>
      </c>
      <c r="BO27" s="14" t="str">
        <f t="shared" ca="1" si="4"/>
        <v/>
      </c>
      <c r="BP27" s="15" t="str">
        <f t="shared" ca="1" si="0"/>
        <v/>
      </c>
      <c r="BQ27" s="15" t="e">
        <f t="shared" ca="1" si="1"/>
        <v>#N/A</v>
      </c>
      <c r="BR27" s="16" t="e">
        <f t="shared" si="5"/>
        <v>#N/A</v>
      </c>
      <c r="BS27" t="e">
        <f t="shared" ca="1" si="5"/>
        <v>#NAME?</v>
      </c>
      <c r="BT27" t="e">
        <f t="shared" ca="1" si="2"/>
        <v>#NAME?</v>
      </c>
      <c r="BU27" s="17" t="str">
        <f ca="1">IFERROR(IF(BQ27="","",IF(BT26="SKIP",BU26,IF(BT26="LOST",BP26+BU26,BW26*BS21))),"")</f>
        <v/>
      </c>
      <c r="BV27" s="18" t="str">
        <f ca="1">IFERROR(IF(BQ27="","",IF(BT27="SKIP",BV26,BW27-BV21)),"")</f>
        <v/>
      </c>
      <c r="BW27" s="18" t="str">
        <f t="shared" ca="1" si="6"/>
        <v/>
      </c>
      <c r="BX27" s="19" t="str">
        <f ca="1">IFERROR(IF(BQ27="","",IF(BT27="SKIP",BX26,(BW27-BV21)/BV21)),"")</f>
        <v/>
      </c>
      <c r="BY27" s="20" t="e">
        <f t="shared" ca="1" si="7"/>
        <v>#NAME?</v>
      </c>
      <c r="BZ27" s="20" t="e">
        <f t="shared" ca="1" si="8"/>
        <v>#NAME?</v>
      </c>
      <c r="CA27" s="23" t="e">
        <f>MAX(INDEX($D:$F, VLOOKUP($BM$22,$A$1:$BR$17,70,), ))</f>
        <v>#N/A</v>
      </c>
      <c r="CB27" s="23" t="e">
        <f>LARGE(INDEX($D:$F, VLOOKUP($BM$22,$A$1:$BR$17,70,), ),2)</f>
        <v>#N/A</v>
      </c>
      <c r="CC27" s="23" t="e">
        <f>MIN(INDEX($D:$F, VLOOKUP($BM$22,$A$1:$BR$17,70,), ))</f>
        <v>#N/A</v>
      </c>
      <c r="CD27" t="e">
        <f>IF(VLOOKUP($BM$22,$A$1:$BR$17,8,FALSE)="yes","WON","LOST")</f>
        <v>#N/A</v>
      </c>
      <c r="CE27" s="21" t="e">
        <f t="shared" si="9"/>
        <v>#N/A</v>
      </c>
      <c r="CF27" s="21" t="e">
        <f t="shared" si="10"/>
        <v>#N/A</v>
      </c>
      <c r="CG27" s="22" t="e">
        <f t="shared" si="11"/>
        <v>#N/A</v>
      </c>
      <c r="CH27" t="e">
        <f>INDEX(E70:E77,MATCH(MAX(D70:D77),D70:D77,0))</f>
        <v>#N/A</v>
      </c>
      <c r="CI27" t="e">
        <f ca="1">CheckCellColor(INDEX(E70:E77,MATCH(MAX(D70:D77),D70:D77,0)))</f>
        <v>#NAME?</v>
      </c>
      <c r="CJ27" t="e">
        <f>INDEX(E70:E77,MATCH(MAX(F70:F77),F70:F77,0))</f>
        <v>#N/A</v>
      </c>
      <c r="CK27" t="e">
        <f ca="1">CheckCellColor(INDEX(E70:E77,MATCH(MAX(F70:F77),F70:F77,0)))</f>
        <v>#NAME?</v>
      </c>
      <c r="CL27" t="e">
        <f>IF(MAX(D70:D77)&gt;MAX(F70:F77),INDEX(E70:E77,MATCH(MAX(D70:D77),D70:D77,0)),INDEX(E70:E77,MATCH(MAX(F70:F77),F70:F77,0)))</f>
        <v>#N/A</v>
      </c>
      <c r="CM27" t="e">
        <f ca="1">CheckCellColor(IF(MAX(D70:D77)&gt;MAX(F70:F77),INDEX(E70:E77,MATCH(MAX(D70:D77),D70:D77,0)),INDEX(E70:E77,MATCH(MAX(F70:F77),F70:F77,0))))</f>
        <v>#NAME?</v>
      </c>
      <c r="CN27" t="e">
        <f>INDEX(I70:I77,MATCH(MAX(H70:H77),H70:H77,0))</f>
        <v>#N/A</v>
      </c>
      <c r="CO27" t="e">
        <f ca="1">CheckCellColor(INDEX(I70:I77,MATCH(MAX(H70:H77),H70:H77,0)))</f>
        <v>#NAME?</v>
      </c>
      <c r="CP27" t="e">
        <f>INDEX(I70:I77,MATCH(MAX(J70:J77),J70:J77,0))</f>
        <v>#N/A</v>
      </c>
      <c r="CQ27" t="e">
        <f ca="1">CheckCellColor(INDEX(I70:I77,MATCH(MAX(J70:J77),J70:J77,0)))</f>
        <v>#NAME?</v>
      </c>
      <c r="CR27" t="e">
        <f>IF(MAX(H70:H77)&gt;MAX(J70:J77),INDEX(I70:I77,MATCH(MAX(H70:H77),H70:H77,0)),INDEX(I70:I77,MATCH(MAX(J70:J77),J70:J77,0)))</f>
        <v>#N/A</v>
      </c>
      <c r="CS27" t="e">
        <f ca="1">CheckCellColor(IF(MAX(H70:H77)&gt;MAX(J70:J77),INDEX(I70:I77,MATCH(MAX(H70:H77),H70:H77,0)),INDEX(I70:I77,MATCH(MAX(J70:J77),J70:J77,0))))</f>
        <v>#NAME?</v>
      </c>
    </row>
    <row r="28" spans="64:97" x14ac:dyDescent="0.25">
      <c r="BN28" s="13" t="str">
        <f t="shared" ca="1" si="3"/>
        <v/>
      </c>
      <c r="BO28" s="14" t="str">
        <f t="shared" ca="1" si="4"/>
        <v/>
      </c>
      <c r="BP28" s="15" t="str">
        <f t="shared" ca="1" si="0"/>
        <v/>
      </c>
      <c r="BQ28" s="15" t="e">
        <f t="shared" ca="1" si="1"/>
        <v>#N/A</v>
      </c>
      <c r="BR28" s="16" t="e">
        <f t="shared" si="5"/>
        <v>#N/A</v>
      </c>
      <c r="BS28" t="e">
        <f t="shared" ca="1" si="5"/>
        <v>#NAME?</v>
      </c>
      <c r="BT28" t="e">
        <f t="shared" ca="1" si="2"/>
        <v>#NAME?</v>
      </c>
      <c r="BU28" s="17" t="str">
        <f ca="1">IFERROR(IF(BQ28="","",IF(BT27="SKIP",BU27,IF(BT27="LOST",BP27+BU27,BW27*BS21))),"")</f>
        <v/>
      </c>
      <c r="BV28" s="18" t="str">
        <f ca="1">IFERROR(IF(BQ28="","",IF(BT28="SKIP",BV27,BW28-BV21)),"")</f>
        <v/>
      </c>
      <c r="BW28" s="18" t="str">
        <f t="shared" ca="1" si="6"/>
        <v/>
      </c>
      <c r="BX28" s="19" t="str">
        <f ca="1">IFERROR(IF(BQ28="","",IF(BT28="SKIP",BX27,(BW28-BV21)/BV21)),"")</f>
        <v/>
      </c>
      <c r="BY28" s="20" t="e">
        <f t="shared" ca="1" si="7"/>
        <v>#NAME?</v>
      </c>
      <c r="BZ28" s="20" t="e">
        <f t="shared" ca="1" si="8"/>
        <v>#NAME?</v>
      </c>
      <c r="CA28" s="23" t="e">
        <f>MAX(INDEX($D:$F, VLOOKUP($BM$22,$A$1:$BS$17,71,), ))</f>
        <v>#N/A</v>
      </c>
      <c r="CB28" s="23" t="e">
        <f>LARGE(INDEX($D:$F, VLOOKUP($BM$22,$A$1:$BS$17,71,), ),2)</f>
        <v>#N/A</v>
      </c>
      <c r="CC28" s="23" t="e">
        <f>MIN(INDEX($D:$F, VLOOKUP($BM$22,$A$1:$BS$17,71,), ))</f>
        <v>#N/A</v>
      </c>
      <c r="CD28" t="e">
        <f>IF(VLOOKUP($BM$22,$A$1:$BS$17,9,FALSE)="yes","WON","LOST")</f>
        <v>#N/A</v>
      </c>
      <c r="CE28" s="21" t="e">
        <f t="shared" si="9"/>
        <v>#N/A</v>
      </c>
      <c r="CF28" s="21" t="e">
        <f t="shared" si="10"/>
        <v>#N/A</v>
      </c>
      <c r="CG28" s="22" t="e">
        <f t="shared" si="11"/>
        <v>#N/A</v>
      </c>
      <c r="CH28" t="e">
        <f>INDEX(E82:E89,MATCH(MAX(D82:D89),D82:D89,0))</f>
        <v>#N/A</v>
      </c>
      <c r="CI28" t="e">
        <f ca="1">CheckCellColor(INDEX(E82:E89,MATCH(MAX(D82:D89),D82:D89,0)))</f>
        <v>#NAME?</v>
      </c>
      <c r="CJ28" t="e">
        <f>INDEX(E82:E89,MATCH(MAX(F82:F89),F82:F89,0))</f>
        <v>#N/A</v>
      </c>
      <c r="CK28" t="e">
        <f ca="1">CheckCellColor(INDEX(E94:E101,MATCH(MAX(F94:F101),F94:F101,0)))</f>
        <v>#NAME?</v>
      </c>
      <c r="CL28" t="e">
        <f>IF(MAX(D82:D89)&gt;MAX(F82:F89),INDEX(E82:E89,MATCH(MAX(D82:D89),D82:D89,0)),INDEX(E82:E89,MATCH(MAX(F82:F89),F82:F89,0)))</f>
        <v>#N/A</v>
      </c>
      <c r="CM28" t="e">
        <f ca="1">CheckCellColor(IF(MAX(D82:D89)&gt;MAX(F82:F89),INDEX(E82:E89,MATCH(MAX(D82:D89),D82:D89,0)),INDEX(E82:E89,MATCH(MAX(F82:F89),F82:F89,0))))</f>
        <v>#NAME?</v>
      </c>
      <c r="CN28" t="e">
        <f>INDEX(I82:I89,MATCH(MAX(H82:H89),H82:H89,0))</f>
        <v>#N/A</v>
      </c>
      <c r="CO28" t="e">
        <f ca="1">CheckCellColor(INDEX(I82:I89,MATCH(MAX(H82:H89),H82:H89,0)))</f>
        <v>#NAME?</v>
      </c>
      <c r="CP28" t="e">
        <f>INDEX(I82:I89,MATCH(MAX(J82:J89),J82:J89,0))</f>
        <v>#N/A</v>
      </c>
      <c r="CQ28" t="e">
        <f ca="1">CheckCellColor(INDEX(I82:I89,MATCH(MAX(J82:J89),J82:J89,0)))</f>
        <v>#NAME?</v>
      </c>
      <c r="CR28" t="e">
        <f>IF(MAX(H82:H89)&gt;MAX(J82:J89),INDEX(I82:I89,MATCH(MAX(H82:H89),H82:H89,0)),INDEX(I82:I89,MATCH(MAX(J82:J89),J82:J89,0)))</f>
        <v>#N/A</v>
      </c>
      <c r="CS28" t="e">
        <f ca="1">CheckCellColor(IF(MAX(H82:H89)&gt;MAX(J82:J89),INDEX(I82:I89,MATCH(MAX(H82:H89),H82:H89,0)),INDEX(I82:I89,MATCH(MAX(J82:J89),J82:J89,0))))</f>
        <v>#NAME?</v>
      </c>
    </row>
    <row r="29" spans="64:97" x14ac:dyDescent="0.25">
      <c r="BN29" s="13" t="str">
        <f t="shared" ca="1" si="3"/>
        <v/>
      </c>
      <c r="BO29" s="14" t="str">
        <f t="shared" ca="1" si="4"/>
        <v/>
      </c>
      <c r="BP29" s="15" t="str">
        <f t="shared" ca="1" si="0"/>
        <v/>
      </c>
      <c r="BQ29" s="15" t="e">
        <f t="shared" ca="1" si="1"/>
        <v>#N/A</v>
      </c>
      <c r="BR29" s="16" t="e">
        <f t="shared" si="5"/>
        <v>#N/A</v>
      </c>
      <c r="BS29" t="e">
        <f t="shared" ca="1" si="5"/>
        <v>#NAME?</v>
      </c>
      <c r="BT29" t="e">
        <f t="shared" ca="1" si="2"/>
        <v>#NAME?</v>
      </c>
      <c r="BU29" s="17" t="str">
        <f ca="1">IFERROR(IF(BQ29="","",IF(BT28="SKIP",BU28,IF(BT28="LOST",BP28+BU28,BW28*BS21))),"")</f>
        <v/>
      </c>
      <c r="BV29" s="18" t="str">
        <f ca="1">IFERROR(IF(BQ29="","",IF(BT29="SKIP",BV28,BW29-BV21)),"")</f>
        <v/>
      </c>
      <c r="BW29" s="18" t="str">
        <f t="shared" ca="1" si="6"/>
        <v/>
      </c>
      <c r="BX29" s="19" t="str">
        <f ca="1">IFERROR(IF(BQ29="","",IF(BT29="SKIP",BX28,(BW29-BV21)/BV21)),"")</f>
        <v/>
      </c>
      <c r="BY29" s="20" t="e">
        <f t="shared" ca="1" si="7"/>
        <v>#NAME?</v>
      </c>
      <c r="BZ29" s="20" t="e">
        <f t="shared" ca="1" si="8"/>
        <v>#NAME?</v>
      </c>
      <c r="CA29" s="23" t="e">
        <f>MAX(INDEX($D:$F, VLOOKUP($BM$22,$A$1:$BT$17,72,), ))</f>
        <v>#N/A</v>
      </c>
      <c r="CB29" s="23" t="e">
        <f>LARGE(INDEX($D:$F, VLOOKUP($BM$22,$A$1:$BT$17,72,), ),2)</f>
        <v>#N/A</v>
      </c>
      <c r="CC29" s="23" t="e">
        <f>MIN(INDEX($D:$F, VLOOKUP($BM$22,$A$1:$BT$17,72,), ))</f>
        <v>#N/A</v>
      </c>
      <c r="CD29" t="e">
        <f>IF(VLOOKUP($BM$22,$A$1:$BT$17,10,FALSE)="yes","WON","LOST")</f>
        <v>#N/A</v>
      </c>
      <c r="CE29" s="21" t="e">
        <f t="shared" si="9"/>
        <v>#N/A</v>
      </c>
      <c r="CF29" s="21" t="e">
        <f t="shared" si="10"/>
        <v>#N/A</v>
      </c>
      <c r="CG29" s="22" t="e">
        <f t="shared" si="11"/>
        <v>#N/A</v>
      </c>
      <c r="CH29" t="e">
        <f>INDEX(E94:E101,MATCH(MAX(D94:D101),D94:D101,0))</f>
        <v>#N/A</v>
      </c>
      <c r="CI29" t="e">
        <f ca="1">CheckCellColor(INDEX(E94:E101,MATCH(MAX(D94:D101),D94:D101,0)))</f>
        <v>#NAME?</v>
      </c>
      <c r="CJ29" t="e">
        <f>INDEX(E94:E101,MATCH(MAX(F94:F101),F94:F101,0))</f>
        <v>#N/A</v>
      </c>
      <c r="CK29" t="e">
        <f ca="1">CheckCellColor(INDEX(E94:E101,MATCH(MAX(F94:F101),F94:F101,0)))</f>
        <v>#NAME?</v>
      </c>
      <c r="CL29" t="e">
        <f>IF(MAX(D94:D101)&gt;MAX(F94:F101),INDEX(E94:E101,MATCH(MAX(D94:D101),D94:D101,0)),INDEX(E94:E101,MATCH(MAX(F94:F101),F94:F101,0)))</f>
        <v>#N/A</v>
      </c>
      <c r="CM29" t="e">
        <f ca="1">CheckCellColor(IF(MAX(D94:D101)&gt;MAX(F94:F101),INDEX(E94:E101,MATCH(MAX(D94:D101),D94:D101,0)),INDEX(E94:E101,MATCH(MAX(F94:F101),F94:F101,0))))</f>
        <v>#NAME?</v>
      </c>
      <c r="CN29" t="e">
        <f>INDEX(I94:I101,MATCH(MAX(H94:H101),H94:H101,0))</f>
        <v>#N/A</v>
      </c>
      <c r="CO29" t="e">
        <f ca="1">CheckCellColor(INDEX(I94:I101,MATCH(MAX(H94:H101),H94:H101,0)))</f>
        <v>#NAME?</v>
      </c>
      <c r="CP29" t="e">
        <f>INDEX(I94:I101,MATCH(MAX(J94:J101),J94:J101,0))</f>
        <v>#N/A</v>
      </c>
      <c r="CQ29" t="e">
        <f ca="1">CheckCellColor(INDEX(I94:I101,MATCH(MAX(J94:J101),J94:J101,0)))</f>
        <v>#NAME?</v>
      </c>
      <c r="CR29" t="e">
        <f>IF(MAX(H94:H101)&gt;MAX(J94:J101),INDEX(I94:I101,MATCH(MAX(H94:H101),H94:H101,0)),INDEX(I94:I101,MATCH(MAX(J94:J101),J94:J101,0)))</f>
        <v>#N/A</v>
      </c>
      <c r="CS29" t="e">
        <f ca="1">CheckCellColor(IF(MAX(H94:H101)&gt;MAX(J94:J101),INDEX(I94:I101,MATCH(MAX(H94:H101),H94:H101,0)),INDEX(I94:I101,MATCH(MAX(J94:J101),J94:J101,0))))</f>
        <v>#NAME?</v>
      </c>
    </row>
    <row r="30" spans="64:97" x14ac:dyDescent="0.25">
      <c r="BL30" s="25" t="s">
        <v>23</v>
      </c>
      <c r="BM30" s="25"/>
      <c r="BN30" s="13" t="str">
        <f t="shared" ca="1" si="3"/>
        <v/>
      </c>
      <c r="BO30" s="14" t="str">
        <f t="shared" ca="1" si="4"/>
        <v/>
      </c>
      <c r="BP30" s="15" t="str">
        <f t="shared" ca="1" si="0"/>
        <v/>
      </c>
      <c r="BQ30" s="15" t="e">
        <f t="shared" ca="1" si="1"/>
        <v>#N/A</v>
      </c>
      <c r="BR30" s="16" t="e">
        <f t="shared" si="5"/>
        <v>#N/A</v>
      </c>
      <c r="BS30" t="e">
        <f t="shared" ca="1" si="5"/>
        <v>#NAME?</v>
      </c>
      <c r="BT30" t="e">
        <f t="shared" ca="1" si="2"/>
        <v>#NAME?</v>
      </c>
      <c r="BU30" s="17" t="str">
        <f ca="1">IFERROR(IF(BQ30="","",IF(BT29="SKIP",BU29,IF(BT29="LOST",BP29+BU29,BW29*BS21))),"")</f>
        <v/>
      </c>
      <c r="BV30" s="18" t="str">
        <f ca="1">IFERROR(IF(BQ30="","",IF(BT30="SKIP",BV29,BW30-BV21)),"")</f>
        <v/>
      </c>
      <c r="BW30" s="18" t="str">
        <f t="shared" ca="1" si="6"/>
        <v/>
      </c>
      <c r="BX30" s="19" t="str">
        <f ca="1">IFERROR(IF(BQ30="","",IF(BT30="SKIP",BX29,(BW30-BV21)/BV21)),"")</f>
        <v/>
      </c>
      <c r="BY30" s="20" t="e">
        <f t="shared" ca="1" si="7"/>
        <v>#NAME?</v>
      </c>
      <c r="BZ30" s="20" t="e">
        <f t="shared" ca="1" si="8"/>
        <v>#NAME?</v>
      </c>
      <c r="CA30" s="23" t="e">
        <f>MAX(INDEX($D:$F, VLOOKUP($BM$22,$A$1:$BU$17,73,), ))</f>
        <v>#N/A</v>
      </c>
      <c r="CB30" s="23" t="e">
        <f>LARGE(INDEX($D:$F, VLOOKUP($BM$22,$A$1:$BU$17,73,), ),2)</f>
        <v>#N/A</v>
      </c>
      <c r="CC30" s="23" t="e">
        <f>MIN(INDEX($D:$F, VLOOKUP($BM$22,$A$1:$BU$17,73,), ))</f>
        <v>#N/A</v>
      </c>
      <c r="CD30" t="e">
        <f>IF(VLOOKUP($BM$22,$A$1:$BU$17,11,FALSE)="yes","WON","LOST")</f>
        <v>#N/A</v>
      </c>
      <c r="CE30" s="21" t="e">
        <f t="shared" si="9"/>
        <v>#N/A</v>
      </c>
      <c r="CF30" s="21" t="e">
        <f t="shared" si="10"/>
        <v>#N/A</v>
      </c>
      <c r="CG30" s="22" t="e">
        <f t="shared" si="11"/>
        <v>#N/A</v>
      </c>
      <c r="CH30" t="e">
        <f>INDEX(E106:E113,MATCH(MAX(D106:D113),D106:D113,0))</f>
        <v>#N/A</v>
      </c>
      <c r="CI30" t="e">
        <f ca="1">CheckCellColor(INDEX(E106:E113,MATCH(MAX(D106:D113),D106:D113,0)))</f>
        <v>#NAME?</v>
      </c>
      <c r="CJ30" t="e">
        <f>INDEX(E106:E113,MATCH(MAX(F106:F113),F106:F113,0))</f>
        <v>#N/A</v>
      </c>
      <c r="CK30" t="e">
        <f ca="1">CheckCellColor(INDEX(E106:E113,MATCH(MAX(F106:F113),F106:F113,0)))</f>
        <v>#NAME?</v>
      </c>
      <c r="CL30" t="e">
        <f>IF(MAX(D106:D113)&gt;MAX(F106:F113),INDEX(E106:E113,MATCH(MAX(D106:D113),D106:D113,0)),INDEX(E106:E113,MATCH(MAX(F106:F113),F106:F113,0)))</f>
        <v>#N/A</v>
      </c>
      <c r="CM30" t="e">
        <f ca="1">CheckCellColor(IF(MAX(D106:D113)&gt;MAX(F106:F113),INDEX(E106:E113,MATCH(MAX(D106:D113),D106:D113,0)),INDEX(E106:E113,MATCH(MAX(F106:F113),F106:F113,0))))</f>
        <v>#NAME?</v>
      </c>
      <c r="CN30" t="e">
        <f>INDEX(I106:I113,MATCH(MAX(H106:H113),H106:H113,0))</f>
        <v>#N/A</v>
      </c>
      <c r="CO30" t="e">
        <f ca="1">CheckCellColor(INDEX(I106:I113,MATCH(MAX(H106:H113),H106:H113,0)))</f>
        <v>#NAME?</v>
      </c>
      <c r="CP30" t="e">
        <f>INDEX(I106:I113,MATCH(MAX(J106:J113),J106:J113,0))</f>
        <v>#N/A</v>
      </c>
      <c r="CQ30" t="e">
        <f ca="1">CheckCellColor(INDEX(I106:I113,MATCH(MAX(J106:J113),J106:J113,0)))</f>
        <v>#NAME?</v>
      </c>
      <c r="CR30" t="e">
        <f>IF(MAX(H106:H113)&gt;MAX(J106:J113),INDEX(I106:I113,MATCH(MAX(H106:H113),H106:H113,0)),INDEX(I106:I113,MATCH(MAX(J106:J113),J106:J113,0)))</f>
        <v>#N/A</v>
      </c>
      <c r="CS30" t="e">
        <f ca="1">CheckCellColor(IF(MAX(H106:H113)&gt;MAX(J106:J113),INDEX(I106:I113,MATCH(MAX(H106:H113),H106:H113,0)),INDEX(I106:I113,MATCH(MAX(J106:J113),J106:J113,0))))</f>
        <v>#NAME?</v>
      </c>
    </row>
    <row r="31" spans="64:97" x14ac:dyDescent="0.25">
      <c r="BL31" s="24" t="s">
        <v>24</v>
      </c>
      <c r="BM31" s="1">
        <f ca="1">COUNTIF(BS23:BS52,BL31)</f>
        <v>0</v>
      </c>
      <c r="BN31" s="13" t="str">
        <f t="shared" ca="1" si="3"/>
        <v/>
      </c>
      <c r="BO31" s="14" t="str">
        <f t="shared" ca="1" si="4"/>
        <v/>
      </c>
      <c r="BP31" s="15" t="str">
        <f t="shared" ca="1" si="0"/>
        <v/>
      </c>
      <c r="BQ31" s="15" t="e">
        <f t="shared" ca="1" si="1"/>
        <v>#N/A</v>
      </c>
      <c r="BR31" s="16" t="e">
        <f t="shared" si="5"/>
        <v>#N/A</v>
      </c>
      <c r="BS31" t="e">
        <f t="shared" ca="1" si="5"/>
        <v>#NAME?</v>
      </c>
      <c r="BT31" t="e">
        <f t="shared" ca="1" si="2"/>
        <v>#NAME?</v>
      </c>
      <c r="BU31" s="17" t="str">
        <f ca="1">IFERROR(IF(BQ31="","",IF(BT30="SKIP",BU30,IF(BT30="LOST",BP30+BU30,BW30*BS21))),"")</f>
        <v/>
      </c>
      <c r="BV31" s="18" t="str">
        <f ca="1">IFERROR(IF(BQ31="","",IF(BT31="SKIP",BV30,BW31-BV21)),"")</f>
        <v/>
      </c>
      <c r="BW31" s="18" t="str">
        <f t="shared" ca="1" si="6"/>
        <v/>
      </c>
      <c r="BX31" s="19" t="str">
        <f ca="1">IFERROR(IF(BQ31="","",IF(BT31="SKIP",BX30,(BW31-BV21)/BV21)),"")</f>
        <v/>
      </c>
      <c r="BY31" s="20" t="e">
        <f t="shared" ca="1" si="7"/>
        <v>#NAME?</v>
      </c>
      <c r="BZ31" s="20" t="e">
        <f t="shared" ca="1" si="8"/>
        <v>#NAME?</v>
      </c>
      <c r="CA31" s="23" t="e">
        <f>MAX(INDEX($D:$F, VLOOKUP($BM$22,$A$1:$BV$17,74,), ))</f>
        <v>#N/A</v>
      </c>
      <c r="CB31" s="23" t="e">
        <f>LARGE(INDEX($D:$F, VLOOKUP($BM$22,$A$1:$BV$17,74,), ),2)</f>
        <v>#N/A</v>
      </c>
      <c r="CC31" s="23" t="e">
        <f>MIN(INDEX($D:$F, VLOOKUP($BM$22,$A$1:$BV$17,74,), ))</f>
        <v>#N/A</v>
      </c>
      <c r="CD31" t="e">
        <f>IF(VLOOKUP($BM$22,$A$1:$BV$17,12,FALSE)="yes","WON","LOST")</f>
        <v>#N/A</v>
      </c>
      <c r="CE31" s="21" t="e">
        <f t="shared" si="9"/>
        <v>#N/A</v>
      </c>
      <c r="CF31" s="21" t="e">
        <f t="shared" si="10"/>
        <v>#N/A</v>
      </c>
      <c r="CG31" s="22" t="e">
        <f t="shared" si="11"/>
        <v>#N/A</v>
      </c>
      <c r="CH31" t="e">
        <f>INDEX(E118:E125,MATCH(MAX(D118:D125),D118:D125,0))</f>
        <v>#N/A</v>
      </c>
      <c r="CI31" t="e">
        <f ca="1">CheckCellColor(INDEX(E118:E125,MATCH(MAX(D118:D125),D118:D125,0)))</f>
        <v>#NAME?</v>
      </c>
      <c r="CJ31" t="e">
        <f>INDEX(E118:E125,MATCH(MAX(F118:F125),F118:F125,0))</f>
        <v>#N/A</v>
      </c>
      <c r="CK31" t="e">
        <f ca="1">CheckCellColor(INDEX(E118:E125,MATCH(MAX(F118:F125),F118:F125,0)))</f>
        <v>#NAME?</v>
      </c>
      <c r="CL31" t="e">
        <f>IF(MAX(D118:D125)&gt;MAX(F118:F125),INDEX(E118:E125,MATCH(MAX(D118:D125),D118:D125,0)),INDEX(E118:E125,MATCH(MAX(F118:F125),F118:F125,0)))</f>
        <v>#N/A</v>
      </c>
      <c r="CM31" t="e">
        <f ca="1">CheckCellColor(IF(MAX(D118:D125)&gt;MAX(F118:F125),INDEX(E118:E125,MATCH(MAX(D118:D125),D118:D125,0)),INDEX(E118:E125,MATCH(MAX(F118:F125),F118:F125,0))))</f>
        <v>#NAME?</v>
      </c>
      <c r="CN31" t="e">
        <f>INDEX(I118:I125,MATCH(MAX(H118:H125),H118:H125,0))</f>
        <v>#N/A</v>
      </c>
      <c r="CO31" t="e">
        <f ca="1">CheckCellColor(INDEX(I118:I125,MATCH(MAX(H118:H125),H118:H125,0)))</f>
        <v>#NAME?</v>
      </c>
      <c r="CP31" t="e">
        <f>INDEX(I118:I125,MATCH(MAX(J118:J125),J118:J125,0))</f>
        <v>#N/A</v>
      </c>
      <c r="CQ31" t="e">
        <f ca="1">CheckCellColor(INDEX(I118:I125,MATCH(MAX(J118:J125),J118:J125,0)))</f>
        <v>#NAME?</v>
      </c>
      <c r="CR31" t="e">
        <f>IF(MAX(H118:H125)&gt;MAX(J118:J125),INDEX(I118:I125,MATCH(MAX(H118:H125),H118:H125,0)),INDEX(I118:I125,MATCH(MAX(J118:J125),J118:J125,0)))</f>
        <v>#N/A</v>
      </c>
      <c r="CS31" t="e">
        <f ca="1">CheckCellColor(IF(MAX(H118:H125)&gt;MAX(J118:J125),INDEX(I118:I125,MATCH(MAX(H118:H125),H118:H125,0)),INDEX(I118:I125,MATCH(MAX(J118:J125),J118:J125,0))))</f>
        <v>#NAME?</v>
      </c>
    </row>
    <row r="32" spans="64:97" x14ac:dyDescent="0.25">
      <c r="BL32" s="24" t="s">
        <v>25</v>
      </c>
      <c r="BM32" s="1">
        <f ca="1">COUNTIF(BS23:BS52,BL32)</f>
        <v>0</v>
      </c>
      <c r="BN32" s="13" t="str">
        <f t="shared" ca="1" si="3"/>
        <v/>
      </c>
      <c r="BO32" s="14" t="str">
        <f t="shared" ca="1" si="4"/>
        <v/>
      </c>
      <c r="BP32" s="15" t="str">
        <f t="shared" ca="1" si="0"/>
        <v/>
      </c>
      <c r="BQ32" s="15" t="e">
        <f t="shared" ca="1" si="1"/>
        <v>#N/A</v>
      </c>
      <c r="BR32" s="16" t="e">
        <f t="shared" si="5"/>
        <v>#N/A</v>
      </c>
      <c r="BS32" t="e">
        <f t="shared" ca="1" si="5"/>
        <v>#NAME?</v>
      </c>
      <c r="BT32" t="e">
        <f t="shared" ca="1" si="2"/>
        <v>#NAME?</v>
      </c>
      <c r="BU32" s="17" t="str">
        <f ca="1">IFERROR(IF(BQ32="","",IF(BT31="SKIP",BU31,IF(BT31="LOST",BP31+BU31,BW31*BS21))),"")</f>
        <v/>
      </c>
      <c r="BV32" s="18" t="str">
        <f ca="1">IFERROR(IF(BQ32="","",IF(BT32="SKIP",BV31,BW32-BV21)),"")</f>
        <v/>
      </c>
      <c r="BW32" s="18" t="str">
        <f t="shared" ca="1" si="6"/>
        <v/>
      </c>
      <c r="BX32" s="19" t="str">
        <f ca="1">IFERROR(IF(BQ32="","",IF(BT32="SKIP",BX31,(BW32-BV21)/BV21)),"")</f>
        <v/>
      </c>
      <c r="BY32" s="20" t="e">
        <f t="shared" ca="1" si="7"/>
        <v>#NAME?</v>
      </c>
      <c r="BZ32" s="20" t="e">
        <f t="shared" ca="1" si="8"/>
        <v>#NAME?</v>
      </c>
      <c r="CA32" s="23" t="e">
        <f>MAX(INDEX($D:$F, VLOOKUP($BM$22,$A$1:$BW$17,75,), ))</f>
        <v>#N/A</v>
      </c>
      <c r="CB32" s="23" t="e">
        <f>LARGE(INDEX($D:$F, VLOOKUP($BM$22,$A$1:$BW$17,75,), ),2)</f>
        <v>#N/A</v>
      </c>
      <c r="CC32" s="23" t="e">
        <f>MIN(INDEX($D:$F, VLOOKUP($BM$22,$A$1:$BW$17,75,), ))</f>
        <v>#N/A</v>
      </c>
      <c r="CD32" t="e">
        <f>IF(VLOOKUP($BM$22,$A$1:$BW$17,13,FALSE)="yes","WON","LOST")</f>
        <v>#N/A</v>
      </c>
      <c r="CE32" s="21" t="e">
        <f t="shared" si="9"/>
        <v>#N/A</v>
      </c>
      <c r="CF32" s="21" t="e">
        <f t="shared" si="10"/>
        <v>#N/A</v>
      </c>
      <c r="CG32" s="22" t="e">
        <f t="shared" si="11"/>
        <v>#N/A</v>
      </c>
      <c r="CH32" t="e">
        <f>INDEX(E130:E137,MATCH(MAX(D130:D137),D130:D137,0))</f>
        <v>#N/A</v>
      </c>
      <c r="CI32" t="e">
        <f ca="1">CheckCellColor(INDEX(E130:E137,MATCH(MAX(D130:D137),D130:D137,0)))</f>
        <v>#NAME?</v>
      </c>
      <c r="CJ32" t="e">
        <f>INDEX(E130:E137,MATCH(MAX(F130:F137),F130:F137,0))</f>
        <v>#N/A</v>
      </c>
      <c r="CK32" t="e">
        <f ca="1">CheckCellColor(INDEX(E130:E137,MATCH(MAX(F130:F137),F130:F137,0)))</f>
        <v>#NAME?</v>
      </c>
      <c r="CL32" t="e">
        <f>IF(MAX(D130:D137)&gt;MAX(F130:F137),INDEX(E130:E137,MATCH(MAX(D130:D137),D130:D137,0)),INDEX(E130:E137,MATCH(MAX(F130:F137),F130:F137,0)))</f>
        <v>#N/A</v>
      </c>
      <c r="CM32" t="e">
        <f ca="1">CheckCellColor(IF(MAX(D130:D137)&gt;MAX(F130:F137),INDEX(E130:E137,MATCH(MAX(D130:D137),D130:D137,0)),INDEX(E130:E137,MATCH(MAX(F130:F137),F130:F137,0))))</f>
        <v>#NAME?</v>
      </c>
      <c r="CN32" t="e">
        <f>INDEX(I130:I137,MATCH(MAX(H130:H137),H130:H137,0))</f>
        <v>#N/A</v>
      </c>
      <c r="CO32" t="e">
        <f ca="1">CheckCellColor(INDEX(I130:I137,MATCH(MAX(H130:H137),H130:H137,0)))</f>
        <v>#NAME?</v>
      </c>
      <c r="CP32" t="e">
        <f>INDEX(I130:I137,MATCH(MAX(J130:J137),J130:J137,0))</f>
        <v>#N/A</v>
      </c>
      <c r="CQ32" t="e">
        <f ca="1">CheckCellColor(INDEX(I130:I137,MATCH(MAX(J130:J137),J130:J137,0)))</f>
        <v>#NAME?</v>
      </c>
      <c r="CR32" t="e">
        <f>IF(MAX(H130:H137)&gt;MAX(J130:J137),INDEX(I130:I137,MATCH(MAX(H130:H137),H130:H137,0)),INDEX(I130:I137,MATCH(MAX(J130:J137),J130:J137,0)))</f>
        <v>#N/A</v>
      </c>
      <c r="CS32" t="e">
        <f ca="1">CheckCellColor(IF(MAX(H130:H137)&gt;MAX(J130:J137),INDEX(I130:I137,MATCH(MAX(H130:H137),H130:H137,0)),INDEX(I130:I137,MATCH(MAX(J130:J137),J130:J137,0))))</f>
        <v>#NAME?</v>
      </c>
    </row>
    <row r="33" spans="64:97" x14ac:dyDescent="0.25">
      <c r="BL33" s="24" t="s">
        <v>26</v>
      </c>
      <c r="BM33" s="1">
        <f ca="1">COUNTIF(BS23:BS52,BL33)</f>
        <v>0</v>
      </c>
      <c r="BN33" s="13" t="str">
        <f t="shared" ca="1" si="3"/>
        <v/>
      </c>
      <c r="BO33" s="14" t="str">
        <f t="shared" ca="1" si="4"/>
        <v/>
      </c>
      <c r="BP33" s="15" t="str">
        <f t="shared" ca="1" si="0"/>
        <v/>
      </c>
      <c r="BQ33" s="15" t="e">
        <f t="shared" ca="1" si="1"/>
        <v>#N/A</v>
      </c>
      <c r="BR33" s="16" t="e">
        <f t="shared" si="5"/>
        <v>#N/A</v>
      </c>
      <c r="BS33" t="e">
        <f t="shared" ca="1" si="5"/>
        <v>#NAME?</v>
      </c>
      <c r="BT33" t="e">
        <f t="shared" ca="1" si="2"/>
        <v>#NAME?</v>
      </c>
      <c r="BU33" s="17" t="str">
        <f ca="1">IFERROR(IF(BQ33="","",IF(BT32="SKIP",BU32,IF(BT32="LOST",BP32+BU32,BW32*BS21))),"")</f>
        <v/>
      </c>
      <c r="BV33" s="18" t="str">
        <f ca="1">IFERROR(IF(BQ33="","",IF(BT33="SKIP",BV32,BW33-BV21)),"")</f>
        <v/>
      </c>
      <c r="BW33" s="18" t="str">
        <f t="shared" ca="1" si="6"/>
        <v/>
      </c>
      <c r="BX33" s="19" t="str">
        <f ca="1">IFERROR(IF(BQ33="","",IF(BT33="SKIP",BX32,(BW33-BV21)/BV21)),"")</f>
        <v/>
      </c>
      <c r="BY33" s="20" t="e">
        <f t="shared" ca="1" si="7"/>
        <v>#NAME?</v>
      </c>
      <c r="BZ33" s="20" t="e">
        <f t="shared" ca="1" si="8"/>
        <v>#NAME?</v>
      </c>
      <c r="CA33" s="23" t="e">
        <f>MAX(INDEX($D:$F, VLOOKUP($BM$22,$A$1:$BX$17,76,), ))</f>
        <v>#N/A</v>
      </c>
      <c r="CB33" s="23" t="e">
        <f>LARGE(INDEX($D:$F, VLOOKUP($BM$22,$A$1:$BX$17,76,), ),2)</f>
        <v>#N/A</v>
      </c>
      <c r="CC33" s="23" t="e">
        <f>MIN(INDEX($D:$F, VLOOKUP($BM$22,$A$1:$BX$17,76,), ))</f>
        <v>#N/A</v>
      </c>
      <c r="CD33" t="e">
        <f>IF(VLOOKUP($BM$22,$A$1:$BX$17,14,FALSE)="yes","WON","LOST")</f>
        <v>#N/A</v>
      </c>
      <c r="CE33" s="21" t="e">
        <f t="shared" si="9"/>
        <v>#N/A</v>
      </c>
      <c r="CF33" s="21" t="e">
        <f t="shared" si="10"/>
        <v>#N/A</v>
      </c>
      <c r="CG33" s="22" t="e">
        <f t="shared" si="11"/>
        <v>#N/A</v>
      </c>
      <c r="CH33" t="e">
        <f>INDEX(E142:E149,MATCH(MAX(D142:D149),D142:D149,0))</f>
        <v>#N/A</v>
      </c>
      <c r="CI33" t="e">
        <f ca="1">CheckCellColor(INDEX(E142:E149,MATCH(MAX(D142:D149),D142:D149,0)))</f>
        <v>#NAME?</v>
      </c>
      <c r="CJ33" t="e">
        <f>INDEX(E142:E149,MATCH(MAX(F142:F149),F142:F149,0))</f>
        <v>#N/A</v>
      </c>
      <c r="CK33" t="e">
        <f ca="1">CheckCellColor(INDEX(E142:E149,MATCH(MAX(F142:F149),F142:F149,0)))</f>
        <v>#NAME?</v>
      </c>
      <c r="CL33" t="e">
        <f>IF(MAX(D142:D149)&gt;MAX(F142:F149),INDEX(E142:E149,MATCH(MAX(D142:D149),D142:D149,0)),INDEX(E142:E149,MATCH(MAX(F142:F149),F142:F149,0)))</f>
        <v>#N/A</v>
      </c>
      <c r="CM33" t="e">
        <f ca="1">CheckCellColor(IF(MAX(D142:D149)&gt;MAX(F142:F149),INDEX(E142:E149,MATCH(MAX(D142:D149),D142:D149,0)),INDEX(E142:E149,MATCH(MAX(F142:F149),F142:F149,0))))</f>
        <v>#NAME?</v>
      </c>
      <c r="CN33" t="e">
        <f>INDEX(I142:I149,MATCH(MAX(H142:H149),H142:H149,0))</f>
        <v>#N/A</v>
      </c>
      <c r="CO33" t="e">
        <f ca="1">CheckCellColor(INDEX(I142:I149,MATCH(MAX(H142:H149),H142:H149,0)))</f>
        <v>#NAME?</v>
      </c>
      <c r="CP33" t="e">
        <f>INDEX(I142:I149,MATCH(MAX(J142:J149),J142:J149,0))</f>
        <v>#N/A</v>
      </c>
      <c r="CQ33" t="e">
        <f ca="1">CheckCellColor(INDEX(I142:I149,MATCH(MAX(J142:J149),J142:J149,0)))</f>
        <v>#NAME?</v>
      </c>
      <c r="CR33" t="e">
        <f>IF(MAX(H142:H149)&gt;MAX(J142:J149),INDEX(I142:I149,MATCH(MAX(H142:H149),H142:H149,0)),INDEX(I142:I149,MATCH(MAX(J142:J149),J142:J149,0)))</f>
        <v>#N/A</v>
      </c>
      <c r="CS33" t="e">
        <f ca="1">CheckCellColor(IF(MAX(H142:H149)&gt;MAX(J142:J149),INDEX(I142:I149,MATCH(MAX(H142:H149),H142:H149,0)),INDEX(I142:I149,MATCH(MAX(J142:J149),J142:J149,0))))</f>
        <v>#NAME?</v>
      </c>
    </row>
    <row r="34" spans="64:97" x14ac:dyDescent="0.25">
      <c r="BL34" s="24" t="s">
        <v>27</v>
      </c>
      <c r="BM34" s="20" t="e">
        <f ca="1">MAX(BY23:BY52)</f>
        <v>#NAME?</v>
      </c>
      <c r="BN34" s="13" t="str">
        <f t="shared" ca="1" si="3"/>
        <v/>
      </c>
      <c r="BO34" s="14" t="str">
        <f t="shared" ca="1" si="4"/>
        <v/>
      </c>
      <c r="BP34" s="15" t="str">
        <f t="shared" ca="1" si="0"/>
        <v/>
      </c>
      <c r="BQ34" s="15" t="e">
        <f t="shared" ca="1" si="1"/>
        <v>#N/A</v>
      </c>
      <c r="BR34" s="16" t="e">
        <f t="shared" si="5"/>
        <v>#N/A</v>
      </c>
      <c r="BS34" t="e">
        <f t="shared" ca="1" si="5"/>
        <v>#NAME?</v>
      </c>
      <c r="BT34" t="e">
        <f t="shared" ca="1" si="2"/>
        <v>#NAME?</v>
      </c>
      <c r="BU34" s="17" t="str">
        <f ca="1">IFERROR(IF(BQ34="","",IF(BT33="SKIP",BU33,IF(BT33="LOST",BP33+BU33,BW33*BS21))),"")</f>
        <v/>
      </c>
      <c r="BV34" s="18" t="str">
        <f ca="1">IFERROR(IF(BQ34="","",IF(BT34="SKIP",BV33,BW34-BV21)),"")</f>
        <v/>
      </c>
      <c r="BW34" s="18" t="str">
        <f t="shared" ca="1" si="6"/>
        <v/>
      </c>
      <c r="BX34" s="19" t="str">
        <f ca="1">IFERROR(IF(BQ34="","",IF(BT34="SKIP",BX33,(BW34-BV21)/BV21)),"")</f>
        <v/>
      </c>
      <c r="BY34" s="20" t="e">
        <f t="shared" ca="1" si="7"/>
        <v>#NAME?</v>
      </c>
      <c r="BZ34" s="20" t="e">
        <f t="shared" ca="1" si="8"/>
        <v>#NAME?</v>
      </c>
      <c r="CA34" s="23" t="e">
        <f>MAX(INDEX($D:$F, VLOOKUP($BM$22,$A$1:$BY$17,77,), ))</f>
        <v>#N/A</v>
      </c>
      <c r="CB34" s="23" t="e">
        <f>LARGE(INDEX($D:$F, VLOOKUP($BM$22,$A$1:$BY$17,77,), ),2)</f>
        <v>#N/A</v>
      </c>
      <c r="CC34" s="23" t="e">
        <f>MIN(INDEX($D:$F, VLOOKUP($BM$22,$A$1:$BY$17,77,), ))</f>
        <v>#N/A</v>
      </c>
      <c r="CD34" t="e">
        <f>IF(VLOOKUP($BM$22,$A$1:$BY$17,15,FALSE)="yes","WON","LOST")</f>
        <v>#N/A</v>
      </c>
      <c r="CE34" s="21" t="e">
        <f t="shared" si="9"/>
        <v>#N/A</v>
      </c>
      <c r="CF34" s="21" t="e">
        <f t="shared" si="10"/>
        <v>#N/A</v>
      </c>
      <c r="CG34" s="22" t="e">
        <f t="shared" si="11"/>
        <v>#N/A</v>
      </c>
      <c r="CH34" t="e">
        <f>INDEX(E154:E161,MATCH(MAX(D154:D161),D154:D161,0))</f>
        <v>#N/A</v>
      </c>
      <c r="CI34" t="e">
        <f ca="1">CheckCellColor(INDEX(E154:E161,MATCH(MAX(D154:D161),D154:D161,0)))</f>
        <v>#NAME?</v>
      </c>
      <c r="CJ34" t="e">
        <f>INDEX(E154:E161,MATCH(MAX(F154:F161),F154:F161,0))</f>
        <v>#N/A</v>
      </c>
      <c r="CK34" t="e">
        <f ca="1">CheckCellColor(INDEX(E154:E161,MATCH(MAX(F154:F161),F154:F161,0)))</f>
        <v>#NAME?</v>
      </c>
      <c r="CL34" t="e">
        <f>IF(MAX(D154:D161)&gt;MAX(F154:F161),INDEX(E154:E161,MATCH(MAX(D154:D161),D154:D161,0)),INDEX(E154:E161,MATCH(MAX(F154:F161),F154:F161,0)))</f>
        <v>#N/A</v>
      </c>
      <c r="CM34" t="e">
        <f ca="1">CheckCellColor(IF(MAX(D154:D161)&gt;MAX(F154:F161),INDEX(E154:E161,MATCH(MAX(D154:D161),D154:D161,0)),INDEX(E154:E161,MATCH(MAX(F154:F161),F154:F161,0))))</f>
        <v>#NAME?</v>
      </c>
      <c r="CN34" t="e">
        <f>INDEX(I154:I161,MATCH(MAX(H154:H161),H154:H161,0))</f>
        <v>#N/A</v>
      </c>
      <c r="CO34" t="e">
        <f ca="1">CheckCellColor(INDEX(I154:I161,MATCH(MAX(H154:H161),H154:H161,0)))</f>
        <v>#NAME?</v>
      </c>
      <c r="CP34" t="e">
        <f>INDEX(I154:I161,MATCH(MAX(J154:J161),J154:J161,0))</f>
        <v>#N/A</v>
      </c>
      <c r="CQ34" t="e">
        <f ca="1">CheckCellColor(INDEX(I154:I161,MATCH(MAX(J154:J161),J154:J161,0)))</f>
        <v>#NAME?</v>
      </c>
      <c r="CR34" t="e">
        <f>IF(MAX(H154:H161)&gt;MAX(J154:J161),INDEX(I154:I161,MATCH(MAX(H154:H161),H154:H161,0)),INDEX(I154:I161,MATCH(MAX(J154:J161),J154:J161,0)))</f>
        <v>#N/A</v>
      </c>
      <c r="CS34" t="e">
        <f ca="1">CheckCellColor(IF(MAX(H154:H161)&gt;MAX(J154:J161),INDEX(I154:I161,MATCH(MAX(H154:H161),H154:H161,0)),INDEX(I154:I161,MATCH(MAX(J154:J161),J154:J161,0))))</f>
        <v>#NAME?</v>
      </c>
    </row>
    <row r="35" spans="64:97" x14ac:dyDescent="0.25">
      <c r="BL35" s="24" t="s">
        <v>28</v>
      </c>
      <c r="BM35" s="20" t="e">
        <f ca="1">MAX(BZ23:BZ52)</f>
        <v>#NAME?</v>
      </c>
      <c r="BN35" s="13" t="str">
        <f t="shared" ca="1" si="3"/>
        <v/>
      </c>
      <c r="BO35" s="14" t="str">
        <f t="shared" ca="1" si="4"/>
        <v/>
      </c>
      <c r="BP35" s="15" t="str">
        <f t="shared" ca="1" si="0"/>
        <v/>
      </c>
      <c r="BQ35" s="15" t="e">
        <f t="shared" ca="1" si="1"/>
        <v>#N/A</v>
      </c>
      <c r="BR35" s="16" t="e">
        <f t="shared" si="5"/>
        <v>#N/A</v>
      </c>
      <c r="BS35" t="e">
        <f t="shared" ca="1" si="5"/>
        <v>#NAME?</v>
      </c>
      <c r="BT35" t="e">
        <f t="shared" ca="1" si="2"/>
        <v>#NAME?</v>
      </c>
      <c r="BU35" s="17" t="str">
        <f ca="1">IFERROR(IF(BQ35="","",IF(BT34="SKIP",BU34,IF(BT34="LOST",BP34+BU34,BW34*BS21))),"")</f>
        <v/>
      </c>
      <c r="BV35" s="18" t="str">
        <f ca="1">IFERROR(IF(BQ35="","",IF(BT35="SKIP",BV34,BW35-BV21)),"")</f>
        <v/>
      </c>
      <c r="BW35" s="18" t="str">
        <f t="shared" ca="1" si="6"/>
        <v/>
      </c>
      <c r="BX35" s="19" t="str">
        <f ca="1">IFERROR(IF(BQ35="","",IF(BT35="SKIP",BX34,(BW35-BV21)/BV21)),"")</f>
        <v/>
      </c>
      <c r="BY35" s="20" t="e">
        <f t="shared" ca="1" si="7"/>
        <v>#NAME?</v>
      </c>
      <c r="BZ35" s="20" t="e">
        <f t="shared" ca="1" si="8"/>
        <v>#NAME?</v>
      </c>
      <c r="CA35" s="23" t="e">
        <f>MAX(INDEX($D:$F, VLOOKUP($BM$22,$A$1:$BZ$17,78,), ))</f>
        <v>#N/A</v>
      </c>
      <c r="CB35" s="23" t="e">
        <f>LARGE(INDEX($D:$F, VLOOKUP($BM$22,$A$1:$BZ$17,78,), ),2)</f>
        <v>#N/A</v>
      </c>
      <c r="CC35" s="23" t="e">
        <f>MIN(INDEX($D:$F, VLOOKUP($BM$22,$A$1:$BZ$17,78,), ))</f>
        <v>#N/A</v>
      </c>
      <c r="CD35" t="e">
        <f>IF(VLOOKUP($BM$22,$A$1:$BZ$17,16,FALSE)="yes","WON","LOST")</f>
        <v>#N/A</v>
      </c>
      <c r="CE35" s="21" t="e">
        <f t="shared" si="9"/>
        <v>#N/A</v>
      </c>
      <c r="CF35" s="21" t="e">
        <f t="shared" si="10"/>
        <v>#N/A</v>
      </c>
      <c r="CG35" s="22" t="e">
        <f t="shared" si="11"/>
        <v>#N/A</v>
      </c>
      <c r="CH35" t="e">
        <f>INDEX(E166:E173,MATCH(MAX(D166:D173),D166:D173,0))</f>
        <v>#N/A</v>
      </c>
      <c r="CI35" t="e">
        <f ca="1">CheckCellColor(INDEX(E166:E173,MATCH(MAX(D166:D173),D166:D173,0)))</f>
        <v>#NAME?</v>
      </c>
      <c r="CJ35" t="e">
        <f>INDEX(E166:E173,MATCH(MAX(F166:F173),F166:F173,0))</f>
        <v>#N/A</v>
      </c>
      <c r="CK35" t="e">
        <f ca="1">CheckCellColor(INDEX(E166:E173,MATCH(MAX(F166:F173),F166:F173,0)))</f>
        <v>#NAME?</v>
      </c>
      <c r="CL35" t="e">
        <f>IF(MAX(D166:D173)&gt;MAX(F166:F173),INDEX(E166:E173,MATCH(MAX(D166:D173),D166:D173,0)),INDEX(E166:E173,MATCH(MAX(F166:F173),F166:F173,0)))</f>
        <v>#N/A</v>
      </c>
      <c r="CM35" t="e">
        <f ca="1">CheckCellColor(IF(MAX(D166:D173)&gt;MAX(F166:F173),INDEX(E166:E173,MATCH(MAX(D166:D173),D166:D173,0)),INDEX(E166:E173,MATCH(MAX(F166:F173),F166:F173,0))))</f>
        <v>#NAME?</v>
      </c>
      <c r="CN35" t="e">
        <f>INDEX(I166:I173,MATCH(MAX(H166:H173),H166:H173,0))</f>
        <v>#N/A</v>
      </c>
      <c r="CO35" t="e">
        <f ca="1">CheckCellColor(INDEX(I166:I173,MATCH(MAX(H166:H173),H166:H173,0)))</f>
        <v>#NAME?</v>
      </c>
      <c r="CP35" t="e">
        <f>INDEX(I166:I173,MATCH(MAX(J166:J173),J166:J173,0))</f>
        <v>#N/A</v>
      </c>
      <c r="CQ35" t="e">
        <f ca="1">CheckCellColor(INDEX(I166:I173,MATCH(MAX(J166:J173),J166:J173,0)))</f>
        <v>#NAME?</v>
      </c>
      <c r="CR35" t="e">
        <f>IF(MAX(H166:H173)&gt;MAX(J166:J173),INDEX(I166:I173,MATCH(MAX(H166:H173),H166:H173,0)),INDEX(I166:I173,MATCH(MAX(J166:J173),J166:J173,0)))</f>
        <v>#N/A</v>
      </c>
      <c r="CS35" t="e">
        <f ca="1">CheckCellColor(IF(MAX(H166:H173)&gt;MAX(J166:J173),INDEX(I166:I173,MATCH(MAX(H166:H173),H166:H173,0)),INDEX(I166:I173,MATCH(MAX(J166:J173),J166:J173,0))))</f>
        <v>#NAME?</v>
      </c>
    </row>
    <row r="36" spans="64:97" x14ac:dyDescent="0.25">
      <c r="BL36" s="24" t="s">
        <v>29</v>
      </c>
      <c r="BM36" s="18" t="e">
        <f ca="1">MAX(BW23:BW52)-BV21</f>
        <v>#N/A</v>
      </c>
      <c r="BN36" s="13" t="str">
        <f t="shared" ca="1" si="3"/>
        <v/>
      </c>
      <c r="BO36" s="14" t="str">
        <f t="shared" ca="1" si="4"/>
        <v/>
      </c>
      <c r="BP36" s="15" t="str">
        <f t="shared" ca="1" si="0"/>
        <v/>
      </c>
      <c r="BQ36" s="15" t="e">
        <f t="shared" ca="1" si="1"/>
        <v>#N/A</v>
      </c>
      <c r="BR36" s="16" t="e">
        <f t="shared" si="5"/>
        <v>#N/A</v>
      </c>
      <c r="BS36" t="e">
        <f t="shared" ca="1" si="5"/>
        <v>#NAME?</v>
      </c>
      <c r="BT36" t="e">
        <f t="shared" ca="1" si="2"/>
        <v>#NAME?</v>
      </c>
      <c r="BU36" s="17" t="str">
        <f ca="1">IFERROR(IF(BQ36="","",IF(BT35="SKIP",BU35,IF(BT35="LOST",BP35+BU35,BW35*BS21))),"")</f>
        <v/>
      </c>
      <c r="BV36" s="18" t="str">
        <f ca="1">IFERROR(IF(BQ36="","",IF(BT36="SKIP",BV35,BW36-BV21)),"")</f>
        <v/>
      </c>
      <c r="BW36" s="18" t="str">
        <f t="shared" ca="1" si="6"/>
        <v/>
      </c>
      <c r="BX36" s="19" t="str">
        <f ca="1">IFERROR(IF(BQ36="","",IF(BT36="SKIP",BX35,(BW36-BV21)/BV21)),"")</f>
        <v/>
      </c>
      <c r="BY36" s="20" t="e">
        <f t="shared" ca="1" si="7"/>
        <v>#NAME?</v>
      </c>
      <c r="BZ36" s="20" t="e">
        <f t="shared" ca="1" si="8"/>
        <v>#NAME?</v>
      </c>
      <c r="CA36" s="23" t="e">
        <f>MAX(INDEX($D:$F, VLOOKUP($BM$22,$A$1:$CA$17,79,), ))</f>
        <v>#N/A</v>
      </c>
      <c r="CB36" s="23" t="e">
        <f>LARGE(INDEX($D:$F, VLOOKUP($BM$22,$A$1:$CA$17,79,), ),2)</f>
        <v>#N/A</v>
      </c>
      <c r="CC36" s="23" t="e">
        <f>MIN(INDEX($D:$F, VLOOKUP($BM$22,$A$1:$CA$17,79,), ))</f>
        <v>#N/A</v>
      </c>
      <c r="CD36" t="e">
        <f>IF(VLOOKUP($BM$22,$A$1:$CA$17,17,FALSE)="yes","WON","LOST")</f>
        <v>#N/A</v>
      </c>
      <c r="CE36" s="21" t="e">
        <f t="shared" si="9"/>
        <v>#N/A</v>
      </c>
      <c r="CF36" s="21" t="e">
        <f t="shared" si="10"/>
        <v>#N/A</v>
      </c>
      <c r="CG36" s="22" t="e">
        <f t="shared" si="11"/>
        <v>#N/A</v>
      </c>
      <c r="CH36" t="e">
        <f>INDEX(E178:E185,MATCH(MAX(D178:D185),D178:D185,0))</f>
        <v>#N/A</v>
      </c>
      <c r="CI36" t="e">
        <f ca="1">CheckCellColor(INDEX(E178:E185,MATCH(MAX(D178:D185),D178:D185,0)))</f>
        <v>#NAME?</v>
      </c>
      <c r="CJ36" t="e">
        <f>INDEX(E178:E185,MATCH(MAX(F178:F185),F178:F185,0))</f>
        <v>#N/A</v>
      </c>
      <c r="CK36" t="e">
        <f ca="1">CheckCellColor(INDEX(E178:E185,MATCH(MAX(F178:F185),F178:F185,0)))</f>
        <v>#NAME?</v>
      </c>
      <c r="CL36" t="e">
        <f>IF(MAX(D178:D185)&gt;MAX(F178:F185),INDEX(E178:E185,MATCH(MAX(D178:D185),D178:D185,0)),INDEX(E178:E185,MATCH(MAX(F178:F185),F178:F185,0)))</f>
        <v>#N/A</v>
      </c>
      <c r="CM36" t="e">
        <f ca="1">CheckCellColor(IF(MAX(D178:D185)&gt;MAX(F178:F185),INDEX(E178:E185,MATCH(MAX(D178:D185),D178:D185,0)),INDEX(E178:E185,MATCH(MAX(F178:F185),F178:F185,0))))</f>
        <v>#NAME?</v>
      </c>
      <c r="CN36" t="e">
        <f>INDEX(I178:I185,MATCH(MAX(H178:H185),H178:H185,0))</f>
        <v>#N/A</v>
      </c>
      <c r="CO36" t="e">
        <f ca="1">CheckCellColor(INDEX(I178:I185,MATCH(MAX(H178:H185),H178:H185,0)))</f>
        <v>#NAME?</v>
      </c>
      <c r="CP36" t="e">
        <f>INDEX(I178:I185,MATCH(MAX(J178:J185),J178:J185,0))</f>
        <v>#N/A</v>
      </c>
      <c r="CQ36" t="e">
        <f ca="1">CheckCellColor(INDEX(I178:I185,MATCH(MAX(J178:J185),J178:J185,0)))</f>
        <v>#NAME?</v>
      </c>
      <c r="CR36" t="e">
        <f>IF(MAX(H178:H185)&gt;MAX(J178:J185),INDEX(I178:I185,MATCH(MAX(H178:H185),H178:H185,0)),INDEX(I178:I185,MATCH(MAX(J178:J185),J178:J185,0)))</f>
        <v>#N/A</v>
      </c>
      <c r="CS36" t="e">
        <f ca="1">CheckCellColor(IF(MAX(H178:H185)&gt;MAX(J178:J185),INDEX(I178:I185,MATCH(MAX(H178:H185),H178:H185,0)),INDEX(I178:I185,MATCH(MAX(J178:J185),J178:J185,0))))</f>
        <v>#NAME?</v>
      </c>
    </row>
    <row r="37" spans="64:97" x14ac:dyDescent="0.25">
      <c r="BN37" s="13" t="str">
        <f t="shared" ca="1" si="3"/>
        <v/>
      </c>
      <c r="BO37" s="14" t="str">
        <f t="shared" ca="1" si="4"/>
        <v/>
      </c>
      <c r="BP37" s="15" t="str">
        <f t="shared" ca="1" si="0"/>
        <v/>
      </c>
      <c r="BQ37" s="15" t="e">
        <f t="shared" ca="1" si="1"/>
        <v>#N/A</v>
      </c>
      <c r="BR37" s="16" t="e">
        <f t="shared" si="5"/>
        <v>#N/A</v>
      </c>
      <c r="BS37" t="e">
        <f t="shared" ca="1" si="5"/>
        <v>#NAME?</v>
      </c>
      <c r="BT37" t="e">
        <f t="shared" ca="1" si="2"/>
        <v>#NAME?</v>
      </c>
      <c r="BU37" s="17" t="str">
        <f ca="1">IFERROR(IF(BQ37="","",IF(BT36="SKIP",BU36,IF(BT36="LOST",BP36+BU36,BW36*BS21))),"")</f>
        <v/>
      </c>
      <c r="BV37" s="18" t="str">
        <f ca="1">IFERROR(IF(BQ37="","",IF(BT37="SKIP",BV36,BW37-BV21)),"")</f>
        <v/>
      </c>
      <c r="BW37" s="18" t="str">
        <f t="shared" ca="1" si="6"/>
        <v/>
      </c>
      <c r="BX37" s="19" t="str">
        <f ca="1">IFERROR(IF(BQ37="","",IF(BT37="SKIP",BX36,(BW37-BV21)/BV21)),"")</f>
        <v/>
      </c>
      <c r="BY37" s="20" t="e">
        <f t="shared" ca="1" si="7"/>
        <v>#NAME?</v>
      </c>
      <c r="BZ37" s="20" t="e">
        <f t="shared" ca="1" si="8"/>
        <v>#NAME?</v>
      </c>
      <c r="CA37" s="23" t="e">
        <f>MAX(INDEX($D:$F, VLOOKUP($BM$22,$A$1:$CB$17,80,), ))</f>
        <v>#N/A</v>
      </c>
      <c r="CB37" s="23" t="e">
        <f>LARGE(INDEX($D:$F, VLOOKUP($BM$22,$A$1:$CB$17,80,), ),2)</f>
        <v>#N/A</v>
      </c>
      <c r="CC37" s="23" t="e">
        <f>MIN(INDEX($D:$F, VLOOKUP($BM$22,$A$1:$CB$17,80,), ))</f>
        <v>#N/A</v>
      </c>
      <c r="CD37" t="e">
        <f>IF(VLOOKUP($BM$22,$A$1:$CB$17,18,FALSE)="yes","WON","LOST")</f>
        <v>#N/A</v>
      </c>
      <c r="CE37" s="21" t="e">
        <f t="shared" si="9"/>
        <v>#N/A</v>
      </c>
      <c r="CF37" s="21" t="e">
        <f t="shared" si="10"/>
        <v>#N/A</v>
      </c>
      <c r="CG37" s="22" t="e">
        <f t="shared" si="11"/>
        <v>#N/A</v>
      </c>
      <c r="CH37" t="e">
        <f>INDEX(E190:E197,MATCH(MAX(D190:D197),D190:D197,0))</f>
        <v>#N/A</v>
      </c>
      <c r="CI37" t="e">
        <f ca="1">CheckCellColor(INDEX(E190:E197,MATCH(MAX(D190:D197),D190:D197,0)))</f>
        <v>#NAME?</v>
      </c>
      <c r="CJ37" t="e">
        <f>INDEX(E190:E197,MATCH(MAX(F190:F197),F190:F197,0))</f>
        <v>#N/A</v>
      </c>
      <c r="CK37" t="e">
        <f ca="1">CheckCellColor(INDEX(E190:E197,MATCH(MAX(F190:F197),F190:F197,0)))</f>
        <v>#NAME?</v>
      </c>
      <c r="CL37" t="e">
        <f>IF(MAX(D190:D197)&gt;MAX(F190:F197),INDEX(E190:E197,MATCH(MAX(D190:D197),D190:D197,0)),INDEX(E190:E197,MATCH(MAX(F190:F197),F190:F197,0)))</f>
        <v>#N/A</v>
      </c>
      <c r="CM37" t="e">
        <f ca="1">CheckCellColor(IF(MAX(D190:D197)&gt;MAX(F190:F197),INDEX(E190:E197,MATCH(MAX(D190:D197),D190:D197,0)),INDEX(E190:E197,MATCH(MAX(F190:F197),F190:F197,0))))</f>
        <v>#NAME?</v>
      </c>
      <c r="CN37" t="e">
        <f>INDEX(I190:I197,MATCH(MAX(H190:H197),H190:H197,0))</f>
        <v>#N/A</v>
      </c>
      <c r="CO37" t="e">
        <f ca="1">CheckCellColor(INDEX(I190:I197,MATCH(MAX(H190:H197),H190:H197,0)))</f>
        <v>#NAME?</v>
      </c>
      <c r="CP37" t="e">
        <f>INDEX(I190:I197,MATCH(MAX(J190:J197),J190:J197,0))</f>
        <v>#N/A</v>
      </c>
      <c r="CQ37" t="e">
        <f ca="1">CheckCellColor(INDEX(I190:I197,MATCH(MAX(J190:J197),J190:J197,0)))</f>
        <v>#NAME?</v>
      </c>
      <c r="CR37" t="e">
        <f>IF(MAX(H190:H197)&gt;MAX(J190:J197),INDEX(I190:I197,MATCH(MAX(H190:H197),H190:H197,0)),INDEX(I190:I197,MATCH(MAX(J190:J197),J190:J197,0)))</f>
        <v>#N/A</v>
      </c>
      <c r="CS37" t="e">
        <f ca="1">CheckCellColor(IF(MAX(H190:H197)&gt;MAX(J190:J197),INDEX(I190:I197,MATCH(MAX(H190:H197),H190:H197,0)),INDEX(I190:I197,MATCH(MAX(J190:J197),J190:J197,0))))</f>
        <v>#NAME?</v>
      </c>
    </row>
    <row r="38" spans="64:97" x14ac:dyDescent="0.25">
      <c r="BN38" s="13" t="str">
        <f t="shared" ca="1" si="3"/>
        <v/>
      </c>
      <c r="BO38" s="14" t="str">
        <f t="shared" ca="1" si="4"/>
        <v/>
      </c>
      <c r="BP38" s="15" t="str">
        <f t="shared" ca="1" si="0"/>
        <v/>
      </c>
      <c r="BQ38" s="15" t="e">
        <f t="shared" ca="1" si="1"/>
        <v>#N/A</v>
      </c>
      <c r="BR38" s="16" t="e">
        <f t="shared" si="5"/>
        <v>#N/A</v>
      </c>
      <c r="BS38" t="e">
        <f t="shared" ca="1" si="5"/>
        <v>#NAME?</v>
      </c>
      <c r="BT38" t="e">
        <f t="shared" ca="1" si="2"/>
        <v>#NAME?</v>
      </c>
      <c r="BU38" s="17" t="str">
        <f ca="1">IFERROR(IF(BQ38="","",IF(BT37="SKIP",BU37,IF(BT37="LOST",BP37+BU37,BW37*BS21))),"")</f>
        <v/>
      </c>
      <c r="BV38" s="18" t="str">
        <f ca="1">IFERROR(IF(BQ38="","",IF(BT38="SKIP",BV37,BW38-BV21)),"")</f>
        <v/>
      </c>
      <c r="BW38" s="18" t="str">
        <f t="shared" ca="1" si="6"/>
        <v/>
      </c>
      <c r="BX38" s="19" t="str">
        <f ca="1">IFERROR(IF(BQ38="","",IF(BT38="SKIP",BX37,(BW38-BV21)/BV21)),"")</f>
        <v/>
      </c>
      <c r="BY38" s="20" t="e">
        <f t="shared" ca="1" si="7"/>
        <v>#NAME?</v>
      </c>
      <c r="BZ38" s="20" t="e">
        <f t="shared" ca="1" si="8"/>
        <v>#NAME?</v>
      </c>
      <c r="CA38" s="23" t="e">
        <f>MAX(INDEX($D:$F, VLOOKUP($BM$22,$A$1:$CC$17,81,), ))</f>
        <v>#N/A</v>
      </c>
      <c r="CB38" s="23" t="e">
        <f>LARGE(INDEX($D:$F, VLOOKUP($BM$22,$A$1:$CC$17,81,), ),2)</f>
        <v>#N/A</v>
      </c>
      <c r="CC38" s="23" t="e">
        <f>MIN(INDEX($D:$F, VLOOKUP($BM$22,$A$1:$CC$17,81,), ))</f>
        <v>#N/A</v>
      </c>
      <c r="CD38" t="e">
        <f>IF(VLOOKUP($BM$22,$A$1:$CC$17,19,FALSE)="yes","WON","LOST")</f>
        <v>#N/A</v>
      </c>
      <c r="CE38" s="21" t="e">
        <f t="shared" si="9"/>
        <v>#N/A</v>
      </c>
      <c r="CF38" s="21" t="e">
        <f t="shared" si="10"/>
        <v>#N/A</v>
      </c>
      <c r="CG38" s="22" t="e">
        <f t="shared" si="11"/>
        <v>#N/A</v>
      </c>
      <c r="CH38" t="e">
        <f>INDEX(E202:E209,MATCH(MAX(D202:D209),D202:D209,0))</f>
        <v>#N/A</v>
      </c>
      <c r="CI38" t="e">
        <f ca="1">CheckCellColor(INDEX(E202:E209,MATCH(MAX(D202:D209),D202:D209,0)))</f>
        <v>#NAME?</v>
      </c>
      <c r="CJ38" t="e">
        <f>INDEX(E202:E209,MATCH(MAX(F202:F209),F202:F209,0))</f>
        <v>#N/A</v>
      </c>
      <c r="CK38" t="e">
        <f ca="1">CheckCellColor(INDEX(E202:E209,MATCH(MAX(F202:F209),F202:F209,0)))</f>
        <v>#NAME?</v>
      </c>
      <c r="CL38" t="e">
        <f>IF(MAX(D202:D209)&gt;MAX(F202:F209),INDEX(E202:E209,MATCH(MAX(D202:D209),D202:D209,0)),INDEX(E202:E209,MATCH(MAX(F202:F209),F202:F209,0)))</f>
        <v>#N/A</v>
      </c>
      <c r="CM38" t="e">
        <f ca="1">CheckCellColor(IF(MAX(D202:D209)&gt;MAX(F202:F209),INDEX(E202:E209,MATCH(MAX(D202:D209),D202:D209,0)),INDEX(E202:E209,MATCH(MAX(F202:F209),F202:F209,0))))</f>
        <v>#NAME?</v>
      </c>
      <c r="CN38" t="e">
        <f>INDEX(I202:I209,MATCH(MAX(H202:H209),H202:H209,0))</f>
        <v>#N/A</v>
      </c>
      <c r="CO38" t="e">
        <f ca="1">CheckCellColor(INDEX(I202:I209,MATCH(MAX(H202:H209),H202:H209,0)))</f>
        <v>#NAME?</v>
      </c>
      <c r="CP38" t="e">
        <f>INDEX(I202:I209,MATCH(MAX(J202:J209),J202:J209,0))</f>
        <v>#N/A</v>
      </c>
      <c r="CQ38" t="e">
        <f ca="1">CheckCellColor(INDEX(I202:I209,MATCH(MAX(J202:J209),J202:J209,0)))</f>
        <v>#NAME?</v>
      </c>
      <c r="CR38" t="e">
        <f>IF(MAX(H202:H209)&gt;MAX(J202:J209),INDEX(I202:I209,MATCH(MAX(H202:H209),H202:H209,0)),INDEX(I202:I209,MATCH(MAX(J202:J209),J202:J209,0)))</f>
        <v>#N/A</v>
      </c>
      <c r="CS38" t="e">
        <f ca="1">CheckCellColor(IF(MAX(H202:H209)&gt;MAX(J202:J209),INDEX(I202:I209,MATCH(MAX(H202:H209),H202:H209,0)),INDEX(I202:I209,MATCH(MAX(J202:J209),J202:J209,0))))</f>
        <v>#NAME?</v>
      </c>
    </row>
    <row r="39" spans="64:97" x14ac:dyDescent="0.25">
      <c r="BN39" s="13" t="str">
        <f t="shared" ca="1" si="3"/>
        <v/>
      </c>
      <c r="BO39" s="14" t="str">
        <f t="shared" ca="1" si="4"/>
        <v/>
      </c>
      <c r="BP39" s="15" t="str">
        <f t="shared" ca="1" si="0"/>
        <v/>
      </c>
      <c r="BQ39" s="15" t="e">
        <f t="shared" ca="1" si="1"/>
        <v>#N/A</v>
      </c>
      <c r="BR39" s="16" t="e">
        <f t="shared" si="5"/>
        <v>#N/A</v>
      </c>
      <c r="BS39" t="e">
        <f t="shared" ca="1" si="5"/>
        <v>#NAME?</v>
      </c>
      <c r="BT39" t="e">
        <f t="shared" ca="1" si="2"/>
        <v>#NAME?</v>
      </c>
      <c r="BU39" s="17" t="str">
        <f ca="1">IFERROR(IF(BQ39="","",IF(BT38="SKIP",BU38,IF(BT38="LOST",BP38+BU38,BW38*BS21))),"")</f>
        <v/>
      </c>
      <c r="BV39" s="18" t="str">
        <f ca="1">IFERROR(IF(BQ39="","",IF(BT39="SKIP",BV38,BW39-BV21)),"")</f>
        <v/>
      </c>
      <c r="BW39" s="18" t="str">
        <f t="shared" ca="1" si="6"/>
        <v/>
      </c>
      <c r="BX39" s="19" t="str">
        <f ca="1">IFERROR(IF(BQ39="","",IF(BT39="SKIP",BX38,(BW39-BV21)/BV21)),"")</f>
        <v/>
      </c>
      <c r="BY39" s="20" t="e">
        <f t="shared" ca="1" si="7"/>
        <v>#NAME?</v>
      </c>
      <c r="BZ39" s="20" t="e">
        <f t="shared" ca="1" si="8"/>
        <v>#NAME?</v>
      </c>
      <c r="CA39" s="23" t="e">
        <f>MAX(INDEX($D:$F, VLOOKUP($BM$22,$A$1:$CD$17,82,), ))</f>
        <v>#N/A</v>
      </c>
      <c r="CB39" s="23" t="e">
        <f>LARGE(INDEX($D:$F, VLOOKUP($BM$22,$A$1:$CD$17,82,), ),2)</f>
        <v>#N/A</v>
      </c>
      <c r="CC39" s="23" t="e">
        <f>MIN(INDEX($D:$F, VLOOKUP($BM$22,$A$1:$CD$17,82,), ))</f>
        <v>#N/A</v>
      </c>
      <c r="CD39" t="e">
        <f>IF(VLOOKUP($BM$22,$A$1:$CD$17,20,FALSE)="yes","WON","LOST")</f>
        <v>#N/A</v>
      </c>
      <c r="CE39" s="21" t="e">
        <f t="shared" si="9"/>
        <v>#N/A</v>
      </c>
      <c r="CF39" s="21" t="e">
        <f t="shared" si="10"/>
        <v>#N/A</v>
      </c>
      <c r="CG39" s="22" t="e">
        <f t="shared" si="11"/>
        <v>#N/A</v>
      </c>
      <c r="CH39" t="e">
        <f>INDEX(E214:E221,MATCH(MAX(D214:D221),D214:D221,0))</f>
        <v>#N/A</v>
      </c>
      <c r="CI39" t="e">
        <f ca="1">CheckCellColor(INDEX(E214:E221,MATCH(MAX(D214:D221),D214:D221,0)))</f>
        <v>#NAME?</v>
      </c>
      <c r="CJ39" t="e">
        <f>INDEX(E214:E221,MATCH(MAX(F214:F221),F214:F221,0))</f>
        <v>#N/A</v>
      </c>
      <c r="CK39" t="e">
        <f ca="1">CheckCellColor(INDEX(E214:E221,MATCH(MAX(F214:F221),F214:F221,0)))</f>
        <v>#NAME?</v>
      </c>
      <c r="CL39" t="e">
        <f>IF(MAX(D214:D221)&gt;MAX(F214:F221),INDEX(E214:E221,MATCH(MAX(D214:D221),D214:D221,0)),INDEX(E214:E221,MATCH(MAX(F214:F221),F214:F221,0)))</f>
        <v>#N/A</v>
      </c>
      <c r="CM39" t="e">
        <f ca="1">CheckCellColor(IF(MAX(D214:D221)&gt;MAX(F214:F221),INDEX(E214:E221,MATCH(MAX(D214:D221),D214:D221,0)),INDEX(E214:E221,MATCH(MAX(F214:F221),F214:F221,0))))</f>
        <v>#NAME?</v>
      </c>
      <c r="CN39" t="e">
        <f>INDEX(I214:I221,MATCH(MAX(H214:H221),H214:H221,0))</f>
        <v>#N/A</v>
      </c>
      <c r="CO39" t="e">
        <f ca="1">CheckCellColor(INDEX(I214:I221,MATCH(MAX(H214:H221),H214:H221,0)))</f>
        <v>#NAME?</v>
      </c>
      <c r="CP39" t="e">
        <f>INDEX(I214:I221,MATCH(MAX(J214:J221),J214:J221,0))</f>
        <v>#N/A</v>
      </c>
      <c r="CQ39" t="e">
        <f ca="1">CheckCellColor(INDEX(I214:I221,MATCH(MAX(J214:J221),J214:J221,0)))</f>
        <v>#NAME?</v>
      </c>
      <c r="CR39" t="e">
        <f>IF(MAX(H214:H221)&gt;MAX(J214:J221),INDEX(I214:I221,MATCH(MAX(H214:H221),H214:H221,0)),INDEX(I214:I221,MATCH(MAX(J214:J221),J214:J221,0)))</f>
        <v>#N/A</v>
      </c>
      <c r="CS39" t="e">
        <f ca="1">CheckCellColor(IF(MAX(H214:H221)&gt;MAX(J214:J221),INDEX(I214:I221,MATCH(MAX(H214:H221),H214:H221,0)),INDEX(I214:I221,MATCH(MAX(J214:J221),J214:J221,0))))</f>
        <v>#NAME?</v>
      </c>
    </row>
    <row r="40" spans="64:97" x14ac:dyDescent="0.25">
      <c r="BN40" s="13" t="str">
        <f t="shared" ca="1" si="3"/>
        <v/>
      </c>
      <c r="BO40" s="14" t="str">
        <f t="shared" ca="1" si="4"/>
        <v/>
      </c>
      <c r="BP40" s="15" t="str">
        <f t="shared" ca="1" si="0"/>
        <v/>
      </c>
      <c r="BQ40" s="15" t="e">
        <f t="shared" ca="1" si="1"/>
        <v>#N/A</v>
      </c>
      <c r="BR40" s="16" t="e">
        <f t="shared" si="5"/>
        <v>#N/A</v>
      </c>
      <c r="BS40" t="e">
        <f t="shared" ca="1" si="5"/>
        <v>#NAME?</v>
      </c>
      <c r="BT40" t="e">
        <f t="shared" ca="1" si="2"/>
        <v>#NAME?</v>
      </c>
      <c r="BU40" s="17" t="str">
        <f ca="1">IFERROR(IF(BQ40="","",IF(BT39="SKIP",BU39,IF(BT39="LOST",BP39+BU39,BW39*BS21))),"")</f>
        <v/>
      </c>
      <c r="BV40" s="18" t="str">
        <f ca="1">IFERROR(IF(BQ40="","",IF(BT40="SKIP",BV39,BW40-BV21)),"")</f>
        <v/>
      </c>
      <c r="BW40" s="18" t="str">
        <f t="shared" ca="1" si="6"/>
        <v/>
      </c>
      <c r="BX40" s="19" t="str">
        <f ca="1">IFERROR(IF(BQ40="","",IF(BT40="SKIP",BX39,(BW40-BV21)/BV21)),"")</f>
        <v/>
      </c>
      <c r="BY40" s="20" t="e">
        <f t="shared" ca="1" si="7"/>
        <v>#NAME?</v>
      </c>
      <c r="BZ40" s="20" t="e">
        <f t="shared" ca="1" si="8"/>
        <v>#NAME?</v>
      </c>
      <c r="CA40" s="23" t="e">
        <f>MAX(INDEX($D:$F, VLOOKUP($BM$22,$A$1:$CE$17,83,), ))</f>
        <v>#N/A</v>
      </c>
      <c r="CB40" s="23" t="e">
        <f>LARGE(INDEX($D:$F, VLOOKUP($BM$22,$A$1:$CE$17,83,), ),2)</f>
        <v>#N/A</v>
      </c>
      <c r="CC40" s="23" t="e">
        <f>MIN(INDEX($D:$F, VLOOKUP($BM$22,$A$1:$CE$17,83,), ))</f>
        <v>#N/A</v>
      </c>
      <c r="CD40" t="e">
        <f>IF(VLOOKUP($BM$22,$A$1:$CE$17,21,FALSE)="yes","WON","LOST")</f>
        <v>#N/A</v>
      </c>
      <c r="CE40" s="21" t="e">
        <f t="shared" si="9"/>
        <v>#N/A</v>
      </c>
      <c r="CF40" s="21" t="e">
        <f t="shared" si="10"/>
        <v>#N/A</v>
      </c>
      <c r="CG40" s="22" t="e">
        <f t="shared" si="11"/>
        <v>#N/A</v>
      </c>
      <c r="CH40" t="e">
        <f>INDEX(E226:E233,MATCH(MAX(D226:D233),D226:D233,0))</f>
        <v>#N/A</v>
      </c>
      <c r="CI40" t="e">
        <f ca="1">CheckCellColor(INDEX(E226:E233,MATCH(MAX(D226:D233),D226:D233,0)))</f>
        <v>#NAME?</v>
      </c>
      <c r="CJ40" t="e">
        <f>INDEX(E226:E233,MATCH(MAX(F226:F233),F226:F233,0))</f>
        <v>#N/A</v>
      </c>
      <c r="CK40" t="e">
        <f ca="1">CheckCellColor(INDEX(E226:E233,MATCH(MAX(F226:F233),F226:F233,0)))</f>
        <v>#NAME?</v>
      </c>
      <c r="CL40" t="e">
        <f>IF(MAX(D226:D233)&gt;MAX(F226:F233),INDEX(E226:E233,MATCH(MAX(D226:D233),D226:D233,0)),INDEX(E226:E233,MATCH(MAX(F226:F233),F226:F233,0)))</f>
        <v>#N/A</v>
      </c>
      <c r="CM40" t="e">
        <f ca="1">CheckCellColor(IF(MAX(D226:D233)&gt;MAX(F226:F233),INDEX(E226:E233,MATCH(MAX(D226:D233),D226:D233,0)),INDEX(E226:E233,MATCH(MAX(F226:F233),F226:F233,0))))</f>
        <v>#NAME?</v>
      </c>
      <c r="CN40" t="e">
        <f>INDEX(I226:I233,MATCH(MAX(H226:H233),H226:H233,0))</f>
        <v>#N/A</v>
      </c>
      <c r="CO40" t="e">
        <f ca="1">CheckCellColor(INDEX(I226:I233,MATCH(MAX(H226:H233),H226:H233,0)))</f>
        <v>#NAME?</v>
      </c>
      <c r="CP40" t="e">
        <f>INDEX(I226:I233,MATCH(MAX(J226:J233),J226:J233,0))</f>
        <v>#N/A</v>
      </c>
      <c r="CQ40" t="e">
        <f ca="1">CheckCellColor(INDEX(I226:I233,MATCH(MAX(J226:J233),J226:J233,0)))</f>
        <v>#NAME?</v>
      </c>
      <c r="CR40" t="e">
        <f>IF(MAX(H226:H233)&gt;MAX(J226:J233),INDEX(I226:I233,MATCH(MAX(H226:H233),H226:H233,0)),INDEX(I226:I233,MATCH(MAX(J226:J233),J226:J233,0)))</f>
        <v>#N/A</v>
      </c>
      <c r="CS40" t="e">
        <f ca="1">CheckCellColor(IF(MAX(H226:H233)&gt;MAX(J226:J233),INDEX(I226:I233,MATCH(MAX(H226:H233),H226:H233,0)),INDEX(I226:I233,MATCH(MAX(J226:J233),J226:J233,0))))</f>
        <v>#NAME?</v>
      </c>
    </row>
    <row r="41" spans="64:97" x14ac:dyDescent="0.25">
      <c r="BN41" s="13" t="str">
        <f t="shared" ca="1" si="3"/>
        <v/>
      </c>
      <c r="BO41" s="14" t="str">
        <f t="shared" ca="1" si="4"/>
        <v/>
      </c>
      <c r="BP41" s="15" t="str">
        <f t="shared" ca="1" si="0"/>
        <v/>
      </c>
      <c r="BQ41" s="15" t="e">
        <f t="shared" ca="1" si="1"/>
        <v>#N/A</v>
      </c>
      <c r="BR41" s="16" t="e">
        <f t="shared" si="5"/>
        <v>#N/A</v>
      </c>
      <c r="BS41" t="e">
        <f t="shared" ca="1" si="5"/>
        <v>#NAME?</v>
      </c>
      <c r="BT41" t="e">
        <f t="shared" ca="1" si="2"/>
        <v>#NAME?</v>
      </c>
      <c r="BU41" s="17" t="str">
        <f ca="1">IFERROR(IF(BQ41="","",IF(BT40="SKIP",BU40,IF(BT40="LOST",BP40+BU40,BW40*BS21))),"")</f>
        <v/>
      </c>
      <c r="BV41" s="18" t="str">
        <f ca="1">IFERROR(IF(BQ41="","",IF(BT41="SKIP",BV40,BW41-BV21)),"")</f>
        <v/>
      </c>
      <c r="BW41" s="18" t="str">
        <f t="shared" ca="1" si="6"/>
        <v/>
      </c>
      <c r="BX41" s="19" t="str">
        <f ca="1">IFERROR(IF(BQ41="","",IF(BT41="SKIP",BX40,(BW41-BV21)/BV21)),"")</f>
        <v/>
      </c>
      <c r="BY41" s="20" t="e">
        <f t="shared" ca="1" si="7"/>
        <v>#NAME?</v>
      </c>
      <c r="BZ41" s="20" t="e">
        <f t="shared" ca="1" si="8"/>
        <v>#NAME?</v>
      </c>
      <c r="CA41" s="23" t="e">
        <f>MAX(INDEX($D:$F, VLOOKUP($BM$22,$A$1:$CF$17,84,), ))</f>
        <v>#N/A</v>
      </c>
      <c r="CB41" s="23" t="e">
        <f>LARGE(INDEX($D:$F, VLOOKUP($BM$22,$A$1:$CF$17,84,), ),2)</f>
        <v>#N/A</v>
      </c>
      <c r="CC41" s="23" t="e">
        <f>MIN(INDEX($D:$F, VLOOKUP($BM$22,$A$1:$CF$17,84,), ))</f>
        <v>#N/A</v>
      </c>
      <c r="CD41" t="e">
        <f>IF(VLOOKUP($BM$22,$A$1:$CF$17,22,FALSE)="yes","WON","LOST")</f>
        <v>#N/A</v>
      </c>
      <c r="CE41" s="21" t="e">
        <f t="shared" si="9"/>
        <v>#N/A</v>
      </c>
      <c r="CF41" s="21" t="e">
        <f t="shared" si="10"/>
        <v>#N/A</v>
      </c>
      <c r="CG41" s="22" t="e">
        <f t="shared" si="11"/>
        <v>#N/A</v>
      </c>
      <c r="CH41" t="e">
        <f>INDEX(E238:E245,MATCH(MAX(D238:D245),D238:D245,0))</f>
        <v>#N/A</v>
      </c>
      <c r="CI41" t="e">
        <f ca="1">CheckCellColor(INDEX(E238:E245,MATCH(MAX(D238:D245),D238:D245,0)))</f>
        <v>#NAME?</v>
      </c>
      <c r="CJ41" t="e">
        <f>INDEX(E238:E245,MATCH(MAX(F238:F245),F238:F245,0))</f>
        <v>#N/A</v>
      </c>
      <c r="CK41" t="e">
        <f ca="1">CheckCellColor(INDEX(E238:E245,MATCH(MAX(F238:F245),F238:F245,0)))</f>
        <v>#NAME?</v>
      </c>
      <c r="CL41" t="e">
        <f>IF(MAX(D238:D245)&gt;MAX(F238:F245),INDEX(E238:E245,MATCH(MAX(D238:D245),D238:D245,0)),INDEX(E238:E245,MATCH(MAX(F238:F245),F238:F245,0)))</f>
        <v>#N/A</v>
      </c>
      <c r="CM41" t="e">
        <f ca="1">CheckCellColor(IF(MAX(D238:D245)&gt;MAX(F238:F245),INDEX(E238:E245,MATCH(MAX(D238:D245),D238:D245,0)),INDEX(E238:E245,MATCH(MAX(F238:F245),F238:F245,0))))</f>
        <v>#NAME?</v>
      </c>
      <c r="CN41" t="e">
        <f>INDEX(I238:I245,MATCH(MAX(H238:H245),H238:H245,0))</f>
        <v>#N/A</v>
      </c>
      <c r="CO41" t="e">
        <f ca="1">CheckCellColor(INDEX(I238:I245,MATCH(MAX(H238:H245),H238:H245,0)))</f>
        <v>#NAME?</v>
      </c>
      <c r="CP41" t="e">
        <f>INDEX(I238:I245,MATCH(MAX(J238:J245),J238:J245,0))</f>
        <v>#N/A</v>
      </c>
      <c r="CQ41" t="e">
        <f ca="1">CheckCellColor(INDEX(I238:I245,MATCH(MAX(J238:J245),J238:J245,0)))</f>
        <v>#NAME?</v>
      </c>
      <c r="CR41" t="e">
        <f>IF(MAX(H238:H245)&gt;MAX(J238:J245),INDEX(I238:I245,MATCH(MAX(H238:H245),H238:H245,0)),INDEX(I238:I245,MATCH(MAX(J238:J245),J238:J245,0)))</f>
        <v>#N/A</v>
      </c>
      <c r="CS41" t="e">
        <f ca="1">CheckCellColor(IF(MAX(H238:H245)&gt;MAX(J238:J245),INDEX(I238:I245,MATCH(MAX(H238:H245),H238:H245,0)),INDEX(I238:I245,MATCH(MAX(J238:J245),J238:J245,0))))</f>
        <v>#NAME?</v>
      </c>
    </row>
    <row r="42" spans="64:97" x14ac:dyDescent="0.25">
      <c r="BN42" s="13" t="str">
        <f t="shared" ca="1" si="3"/>
        <v/>
      </c>
      <c r="BO42" s="14" t="str">
        <f t="shared" ca="1" si="4"/>
        <v/>
      </c>
      <c r="BP42" s="15" t="str">
        <f t="shared" ca="1" si="0"/>
        <v/>
      </c>
      <c r="BQ42" s="15" t="e">
        <f t="shared" ca="1" si="1"/>
        <v>#N/A</v>
      </c>
      <c r="BR42" s="16" t="e">
        <f t="shared" si="5"/>
        <v>#N/A</v>
      </c>
      <c r="BS42" t="e">
        <f t="shared" ca="1" si="5"/>
        <v>#NAME?</v>
      </c>
      <c r="BT42" t="e">
        <f t="shared" ca="1" si="2"/>
        <v>#NAME?</v>
      </c>
      <c r="BU42" s="17" t="str">
        <f ca="1">IFERROR(IF(BQ42="","",IF(BT41="SKIP",BU41,IF(BT41="LOST",BP41+BU41,BW41*BS21))),"")</f>
        <v/>
      </c>
      <c r="BV42" s="18" t="str">
        <f ca="1">IFERROR(IF(BQ42="","",IF(BT42="SKIP",BV41,BW42-BV21)),"")</f>
        <v/>
      </c>
      <c r="BW42" s="18" t="str">
        <f t="shared" ca="1" si="6"/>
        <v/>
      </c>
      <c r="BX42" s="19" t="str">
        <f ca="1">IFERROR(IF(BQ42="","",IF(BT42="SKIP",BX41,(BW42-BV21)/BV21)),"")</f>
        <v/>
      </c>
      <c r="BY42" s="20" t="e">
        <f t="shared" ca="1" si="7"/>
        <v>#NAME?</v>
      </c>
      <c r="BZ42" s="20" t="e">
        <f t="shared" ca="1" si="8"/>
        <v>#NAME?</v>
      </c>
      <c r="CA42" s="23" t="e">
        <f>MAX(INDEX($D:$F, VLOOKUP($BM$22,$A$1:$CG$17,85,), ))</f>
        <v>#N/A</v>
      </c>
      <c r="CB42" s="23" t="e">
        <f>LARGE(INDEX($D:$F, VLOOKUP($BM$22,$A$1:$CG$17,85,), ),2)</f>
        <v>#N/A</v>
      </c>
      <c r="CC42" s="23" t="e">
        <f>MIN(INDEX($D:$F, VLOOKUP($BM$22,$A$1:$CG$17,85,), ))</f>
        <v>#N/A</v>
      </c>
      <c r="CD42" t="e">
        <f>IF(VLOOKUP($BM$22,$A$1:$CG$17,23,FALSE)="yes","WON","LOST")</f>
        <v>#N/A</v>
      </c>
      <c r="CE42" s="21" t="e">
        <f t="shared" si="9"/>
        <v>#N/A</v>
      </c>
      <c r="CF42" s="21" t="e">
        <f t="shared" si="10"/>
        <v>#N/A</v>
      </c>
      <c r="CG42" s="22" t="e">
        <f t="shared" si="11"/>
        <v>#N/A</v>
      </c>
      <c r="CH42" t="e">
        <f>INDEX(E250:E257,MATCH(MAX(D250:D257),D250:D257,0))</f>
        <v>#N/A</v>
      </c>
      <c r="CI42" t="e">
        <f ca="1">CheckCellColor(INDEX(E250:E257,MATCH(MAX(D250:D257),D250:D257,0)))</f>
        <v>#NAME?</v>
      </c>
      <c r="CJ42" t="e">
        <f>INDEX(E250:E257,MATCH(MAX(F250:F257),F250:F257,0))</f>
        <v>#N/A</v>
      </c>
      <c r="CK42" t="e">
        <f ca="1">CheckCellColor(INDEX(E250:E257,MATCH(MAX(F250:F257),F250:F257,0)))</f>
        <v>#NAME?</v>
      </c>
      <c r="CL42" t="e">
        <f>IF(MAX(D250:D257)&gt;MAX(F250:F257),INDEX(E250:E257,MATCH(MAX(D250:D257),D250:D257,0)),INDEX(E250:E257,MATCH(MAX(F250:F257),F250:F257,0)))</f>
        <v>#N/A</v>
      </c>
      <c r="CM42" t="e">
        <f ca="1">CheckCellColor(IF(MAX(D250:D257)&gt;MAX(F250:F257),INDEX(E250:E257,MATCH(MAX(D250:D257),D250:D257,0)),INDEX(E250:E257,MATCH(MAX(F250:F257),F250:F257,0))))</f>
        <v>#NAME?</v>
      </c>
      <c r="CN42" t="e">
        <f>INDEX(I250:I257,MATCH(MAX(H250:H257),H250:H257,0))</f>
        <v>#N/A</v>
      </c>
      <c r="CO42" t="e">
        <f ca="1">CheckCellColor(INDEX(I250:I257,MATCH(MAX(H250:H257),H250:H257,0)))</f>
        <v>#NAME?</v>
      </c>
      <c r="CP42" t="e">
        <f>INDEX(I250:I257,MATCH(MAX(J250:J257),J250:J257,0))</f>
        <v>#N/A</v>
      </c>
      <c r="CQ42" t="e">
        <f ca="1">CheckCellColor(INDEX(I250:I257,MATCH(MAX(J250:J257),J250:J257,0)))</f>
        <v>#NAME?</v>
      </c>
      <c r="CR42" t="e">
        <f>IF(MAX(H250:H257)&gt;MAX(J250:J257),INDEX(I250:I257,MATCH(MAX(H250:H257),H250:H257,0)),INDEX(I250:I257,MATCH(MAX(J250:J257),J250:J257,0)))</f>
        <v>#N/A</v>
      </c>
      <c r="CS42" t="e">
        <f ca="1">CheckCellColor(IF(MAX(H250:H257)&gt;MAX(J250:J257),INDEX(I250:I257,MATCH(MAX(H250:H257),H250:H257,0)),INDEX(I250:I257,MATCH(MAX(J250:J257),J250:J257,0))))</f>
        <v>#NAME?</v>
      </c>
    </row>
    <row r="43" spans="64:97" x14ac:dyDescent="0.25">
      <c r="BN43" s="13" t="str">
        <f t="shared" ca="1" si="3"/>
        <v/>
      </c>
      <c r="BO43" s="14" t="str">
        <f t="shared" ca="1" si="4"/>
        <v/>
      </c>
      <c r="BP43" s="15" t="str">
        <f t="shared" ca="1" si="0"/>
        <v/>
      </c>
      <c r="BQ43" s="15" t="e">
        <f t="shared" ca="1" si="1"/>
        <v>#N/A</v>
      </c>
      <c r="BR43" s="16" t="e">
        <f t="shared" si="5"/>
        <v>#N/A</v>
      </c>
      <c r="BS43" t="e">
        <f t="shared" ca="1" si="5"/>
        <v>#NAME?</v>
      </c>
      <c r="BT43" t="e">
        <f t="shared" ca="1" si="2"/>
        <v>#NAME?</v>
      </c>
      <c r="BU43" s="17" t="str">
        <f ca="1">IFERROR(IF(BQ43="","",IF(BT42="SKIP",BU42,IF(BT42="LOST",BP42+BU42,BW42*BS21))),"")</f>
        <v/>
      </c>
      <c r="BV43" s="18" t="str">
        <f ca="1">IFERROR(IF(BQ43="","",IF(BT43="SKIP",BV42,BW43-BV21)),"")</f>
        <v/>
      </c>
      <c r="BW43" s="18" t="str">
        <f t="shared" ca="1" si="6"/>
        <v/>
      </c>
      <c r="BX43" s="19" t="str">
        <f ca="1">IFERROR(IF(BQ43="","",IF(BT43="SKIP",BX42,(BW43-BV21)/BV21)),"")</f>
        <v/>
      </c>
      <c r="BY43" s="20" t="e">
        <f t="shared" ca="1" si="7"/>
        <v>#NAME?</v>
      </c>
      <c r="BZ43" s="20" t="e">
        <f t="shared" ca="1" si="8"/>
        <v>#NAME?</v>
      </c>
      <c r="CA43" s="23" t="e">
        <f>MAX(INDEX($D:$F, VLOOKUP($BM$22,$A$1:$CH$17,86,), ))</f>
        <v>#N/A</v>
      </c>
      <c r="CB43" s="23" t="e">
        <f>LARGE(INDEX($D:$F, VLOOKUP($BM$22,$A$1:$CH$17,86,), ),2)</f>
        <v>#N/A</v>
      </c>
      <c r="CC43" s="23" t="e">
        <f>MIN(INDEX($D:$F, VLOOKUP($BM$22,$A$1:$CH$17,86,), ))</f>
        <v>#N/A</v>
      </c>
      <c r="CD43" t="e">
        <f>IF(VLOOKUP($BM$22,$A$1:$CH$17,24,FALSE)="yes","WON","LOST")</f>
        <v>#N/A</v>
      </c>
      <c r="CE43" s="21" t="e">
        <f t="shared" si="9"/>
        <v>#N/A</v>
      </c>
      <c r="CF43" s="21" t="e">
        <f t="shared" si="10"/>
        <v>#N/A</v>
      </c>
      <c r="CG43" s="22" t="e">
        <f t="shared" si="11"/>
        <v>#N/A</v>
      </c>
      <c r="CH43" t="e">
        <f>INDEX(E262:E269,MATCH(MAX(D262:D269),D262:D269,0))</f>
        <v>#N/A</v>
      </c>
      <c r="CI43" t="e">
        <f ca="1">CheckCellColor(INDEX(E262:E269,MATCH(MAX(D262:D269),D262:D269,0)))</f>
        <v>#NAME?</v>
      </c>
      <c r="CJ43" t="e">
        <f>INDEX(E262:E269,MATCH(MAX(F262:F269),F262:F269,0))</f>
        <v>#N/A</v>
      </c>
      <c r="CK43" t="e">
        <f ca="1">CheckCellColor(INDEX(E262:E269,MATCH(MAX(F262:F269),F262:F269,0)))</f>
        <v>#NAME?</v>
      </c>
      <c r="CL43" t="e">
        <f>IF(MAX(D262:D269)&gt;MAX(F262:F269),INDEX(E262:E269,MATCH(MAX(D262:D269),D262:D269,0)),INDEX(E262:E269,MATCH(MAX(F262:F269),F262:F269,0)))</f>
        <v>#N/A</v>
      </c>
      <c r="CM43" t="e">
        <f ca="1">CheckCellColor(IF(MAX(D262:D269)&gt;MAX(F262:F269),INDEX(E262:E269,MATCH(MAX(D262:D269),D262:D269,0)),INDEX(E262:E269,MATCH(MAX(F262:F269),F262:F269,0))))</f>
        <v>#NAME?</v>
      </c>
      <c r="CN43" t="e">
        <f>INDEX(I262:I269,MATCH(MAX(H262:H269),H262:H269,0))</f>
        <v>#N/A</v>
      </c>
      <c r="CO43" t="e">
        <f ca="1">CheckCellColor(INDEX(I262:I269,MATCH(MAX(H262:H269),H262:H269,0)))</f>
        <v>#NAME?</v>
      </c>
      <c r="CP43" t="e">
        <f>INDEX(I262:I269,MATCH(MAX(J262:J269),J262:J269,0))</f>
        <v>#N/A</v>
      </c>
      <c r="CQ43" t="e">
        <f ca="1">CheckCellColor(INDEX(I262:I269,MATCH(MAX(J262:J269),J262:J269,0)))</f>
        <v>#NAME?</v>
      </c>
      <c r="CR43" t="e">
        <f>IF(MAX(H262:H269)&gt;MAX(J262:J269),INDEX(I262:I269,MATCH(MAX(H262:H269),H262:H269,0)),INDEX(I262:I269,MATCH(MAX(J262:J269),J262:J269,0)))</f>
        <v>#N/A</v>
      </c>
      <c r="CS43" t="e">
        <f ca="1">CheckCellColor(IF(MAX(H262:H269)&gt;MAX(J262:J269),INDEX(I262:I269,MATCH(MAX(H262:H269),H262:H269,0)),INDEX(I262:I269,MATCH(MAX(J262:J269),J262:J269,0))))</f>
        <v>#NAME?</v>
      </c>
    </row>
    <row r="44" spans="64:97" x14ac:dyDescent="0.25">
      <c r="BN44" s="13" t="str">
        <f t="shared" ca="1" si="3"/>
        <v/>
      </c>
      <c r="BO44" s="14" t="str">
        <f t="shared" ca="1" si="4"/>
        <v/>
      </c>
      <c r="BP44" s="15" t="str">
        <f t="shared" ca="1" si="0"/>
        <v/>
      </c>
      <c r="BQ44" s="15" t="e">
        <f t="shared" ca="1" si="1"/>
        <v>#N/A</v>
      </c>
      <c r="BR44" s="16" t="e">
        <f t="shared" si="5"/>
        <v>#N/A</v>
      </c>
      <c r="BS44" t="e">
        <f t="shared" ca="1" si="5"/>
        <v>#NAME?</v>
      </c>
      <c r="BT44" t="e">
        <f t="shared" ca="1" si="2"/>
        <v>#NAME?</v>
      </c>
      <c r="BU44" s="17" t="str">
        <f ca="1">IFERROR(IF(BQ44="","",IF(BT43="SKIP",BU43,IF(BT43="LOST",BP43+BU43,BW43*BS21))),"")</f>
        <v/>
      </c>
      <c r="BV44" s="18" t="str">
        <f ca="1">IFERROR(IF(BQ44="","",IF(BT44="SKIP",BV43,BW44-BV21)),"")</f>
        <v/>
      </c>
      <c r="BW44" s="18" t="str">
        <f t="shared" ca="1" si="6"/>
        <v/>
      </c>
      <c r="BX44" s="19" t="str">
        <f ca="1">IFERROR(IF(BQ44="","",IF(BT44="SKIP",BX43,(BW44-BV21)/BV21)),"")</f>
        <v/>
      </c>
      <c r="BY44" s="20" t="e">
        <f t="shared" ca="1" si="7"/>
        <v>#NAME?</v>
      </c>
      <c r="BZ44" s="20" t="e">
        <f t="shared" ca="1" si="8"/>
        <v>#NAME?</v>
      </c>
      <c r="CA44" s="23" t="e">
        <f>MAX(INDEX($D:$F, VLOOKUP($BM$22,$A$1:$CI$17,87,), ))</f>
        <v>#N/A</v>
      </c>
      <c r="CB44" s="23" t="e">
        <f>LARGE(INDEX($D:$F, VLOOKUP($BM$22,$A$1:$CI$17,87,), ),2)</f>
        <v>#N/A</v>
      </c>
      <c r="CC44" s="23" t="e">
        <f>MIN(INDEX($D:$F, VLOOKUP($BM$22,$A$1:$CI$17,87,), ))</f>
        <v>#N/A</v>
      </c>
      <c r="CD44" t="e">
        <f>IF(VLOOKUP($BM$22,$A$1:$CI$17,25,FALSE)="yes","WON","LOST")</f>
        <v>#N/A</v>
      </c>
      <c r="CE44" s="21" t="e">
        <f t="shared" si="9"/>
        <v>#N/A</v>
      </c>
      <c r="CF44" s="21" t="e">
        <f t="shared" si="10"/>
        <v>#N/A</v>
      </c>
      <c r="CG44" s="22" t="e">
        <f t="shared" si="11"/>
        <v>#N/A</v>
      </c>
      <c r="CH44" t="e">
        <f>INDEX(E274:E281,MATCH(MAX(D274:D281),D274:D281,0))</f>
        <v>#N/A</v>
      </c>
      <c r="CI44" t="e">
        <f ca="1">CheckCellColor(INDEX(E274:E281,MATCH(MAX(D274:D281),D274:D281,0)))</f>
        <v>#NAME?</v>
      </c>
      <c r="CJ44" t="e">
        <f>INDEX(E274:E281,MATCH(MAX(F274:F281),F274:F281,0))</f>
        <v>#N/A</v>
      </c>
      <c r="CK44" t="e">
        <f ca="1">CheckCellColor(INDEX(E274:E281,MATCH(MAX(F274:F281),F274:F281,0)))</f>
        <v>#NAME?</v>
      </c>
      <c r="CL44" t="e">
        <f>IF(MAX(D274:D281)&gt;MAX(F274:F281),INDEX(E274:E281,MATCH(MAX(D274:D281),D274:D281,0)),INDEX(E274:E281,MATCH(MAX(F274:F281),F274:F281,0)))</f>
        <v>#N/A</v>
      </c>
      <c r="CM44" t="e">
        <f ca="1">CheckCellColor(IF(MAX(D274:D281)&gt;MAX(F274:F281),INDEX(E274:E281,MATCH(MAX(D274:D281),D274:D281,0)),INDEX(E274:E281,MATCH(MAX(F274:F281),F274:F281,0))))</f>
        <v>#NAME?</v>
      </c>
      <c r="CN44" t="e">
        <f>INDEX(I274:I281,MATCH(MAX(H274:H281),H274:H281,0))</f>
        <v>#N/A</v>
      </c>
      <c r="CO44" t="e">
        <f ca="1">CheckCellColor(INDEX(I274:I281,MATCH(MAX(H274:H281),H274:H281,0)))</f>
        <v>#NAME?</v>
      </c>
      <c r="CP44" t="e">
        <f>INDEX(I274:I281,MATCH(MAX(J274:J281),J274:J281,0))</f>
        <v>#N/A</v>
      </c>
      <c r="CQ44" t="e">
        <f ca="1">CheckCellColor(INDEX(I274:I281,MATCH(MAX(J274:J281),J274:J281,0)))</f>
        <v>#NAME?</v>
      </c>
      <c r="CR44" t="e">
        <f>IF(MAX(H274:H281)&gt;MAX(J274:J281),INDEX(I274:I281,MATCH(MAX(H274:H281),H274:H281,0)),INDEX(I274:I281,MATCH(MAX(J274:J281),J274:J281,0)))</f>
        <v>#N/A</v>
      </c>
      <c r="CS44" t="e">
        <f ca="1">CheckCellColor(IF(MAX(H274:H281)&gt;MAX(J274:J281),INDEX(I274:I281,MATCH(MAX(H274:H281),H274:H281,0)),INDEX(I274:I281,MATCH(MAX(J274:J281),J274:J281,0))))</f>
        <v>#NAME?</v>
      </c>
    </row>
    <row r="45" spans="64:97" x14ac:dyDescent="0.25">
      <c r="BN45" s="13" t="str">
        <f t="shared" ca="1" si="3"/>
        <v/>
      </c>
      <c r="BO45" s="14" t="str">
        <f t="shared" ca="1" si="4"/>
        <v/>
      </c>
      <c r="BP45" s="15" t="str">
        <f t="shared" ca="1" si="0"/>
        <v/>
      </c>
      <c r="BQ45" s="15" t="e">
        <f t="shared" ca="1" si="1"/>
        <v>#N/A</v>
      </c>
      <c r="BR45" s="16" t="e">
        <f t="shared" si="5"/>
        <v>#N/A</v>
      </c>
      <c r="BS45" t="e">
        <f t="shared" ca="1" si="5"/>
        <v>#NAME?</v>
      </c>
      <c r="BT45" t="e">
        <f t="shared" ca="1" si="2"/>
        <v>#NAME?</v>
      </c>
      <c r="BU45" s="17" t="str">
        <f ca="1">IFERROR(IF(BQ45="","",IF(BT44="SKIP",BU44,IF(BT44="LOST",BP44+BU44,BW44*BS21))),"")</f>
        <v/>
      </c>
      <c r="BV45" s="18" t="str">
        <f ca="1">IFERROR(IF(BQ45="","",IF(BT45="SKIP",BV44,BW45-BV21)),"")</f>
        <v/>
      </c>
      <c r="BW45" s="18" t="str">
        <f t="shared" ca="1" si="6"/>
        <v/>
      </c>
      <c r="BX45" s="19" t="str">
        <f ca="1">IFERROR(IF(BQ45="","",IF(BT45="SKIP",BX44,(BW45-BV21)/BV21)),"")</f>
        <v/>
      </c>
      <c r="BY45" s="20" t="e">
        <f t="shared" ca="1" si="7"/>
        <v>#NAME?</v>
      </c>
      <c r="BZ45" s="20" t="e">
        <f t="shared" ca="1" si="8"/>
        <v>#NAME?</v>
      </c>
      <c r="CA45" s="23" t="e">
        <f>MAX(INDEX($D:$F, VLOOKUP($BM$22,$A$1:$CJ$17,88,), ))</f>
        <v>#N/A</v>
      </c>
      <c r="CB45" s="23" t="e">
        <f>LARGE(INDEX($D:$F, VLOOKUP($BM$22,$A$1:$CJ$17,88,), ),2)</f>
        <v>#N/A</v>
      </c>
      <c r="CC45" s="23" t="e">
        <f>MIN(INDEX($D:$F, VLOOKUP($BM$22,$A$1:$CJ$17,88,), ))</f>
        <v>#N/A</v>
      </c>
      <c r="CD45" t="e">
        <f>IF(VLOOKUP($BM$22,$A$1:$CJ$17,26,FALSE)="yes","WON","LOST")</f>
        <v>#N/A</v>
      </c>
      <c r="CE45" s="21" t="e">
        <f t="shared" si="9"/>
        <v>#N/A</v>
      </c>
      <c r="CF45" s="21" t="e">
        <f t="shared" si="10"/>
        <v>#N/A</v>
      </c>
      <c r="CG45" s="22" t="e">
        <f t="shared" si="11"/>
        <v>#N/A</v>
      </c>
      <c r="CH45" t="e">
        <f>INDEX(E286:E293,MATCH(MAX(D286:D293),D286:D293,0))</f>
        <v>#N/A</v>
      </c>
      <c r="CI45" t="e">
        <f ca="1">CheckCellColor(INDEX(E286:E293,MATCH(MAX(D286:D293),D286:D293,0)))</f>
        <v>#NAME?</v>
      </c>
      <c r="CJ45" t="e">
        <f>INDEX(E286:E293,MATCH(MAX(F286:F293),F286:F293,0))</f>
        <v>#N/A</v>
      </c>
      <c r="CK45" t="e">
        <f ca="1">CheckCellColor(INDEX(E286:E293,MATCH(MAX(F286:F293),F286:F293,0)))</f>
        <v>#NAME?</v>
      </c>
      <c r="CL45" t="e">
        <f>IF(MAX(D286:D293)&gt;MAX(F286:F293),INDEX(E286:E293,MATCH(MAX(D286:D293),D286:D293,0)),INDEX(E286:E293,MATCH(MAX(F286:F293),F286:F293,0)))</f>
        <v>#N/A</v>
      </c>
      <c r="CM45" t="e">
        <f ca="1">CheckCellColor(IF(MAX(D286:D293)&gt;MAX(F286:F293),INDEX(E286:E293,MATCH(MAX(D286:D293),D286:D293,0)),INDEX(E286:E293,MATCH(MAX(F286:F293),F286:F293,0))))</f>
        <v>#NAME?</v>
      </c>
      <c r="CN45" t="e">
        <f>INDEX(I286:I293,MATCH(MAX(H286:H293),H286:H293,0))</f>
        <v>#N/A</v>
      </c>
      <c r="CO45" t="e">
        <f ca="1">CheckCellColor(INDEX(I286:I293,MATCH(MAX(H286:H293),H286:H293,0)))</f>
        <v>#NAME?</v>
      </c>
      <c r="CP45" t="e">
        <f>INDEX(I286:I293,MATCH(MAX(J286:J293),J286:J293,0))</f>
        <v>#N/A</v>
      </c>
      <c r="CQ45" t="e">
        <f ca="1">CheckCellColor(INDEX(I286:I293,MATCH(MAX(J286:J293),J286:J293,0)))</f>
        <v>#NAME?</v>
      </c>
      <c r="CR45" t="e">
        <f>IF(MAX(H286:H293)&gt;MAX(J286:J293),INDEX(I286:I293,MATCH(MAX(H286:H293),H286:H293,0)),INDEX(I286:I293,MATCH(MAX(J286:J293),J286:J293,0)))</f>
        <v>#N/A</v>
      </c>
      <c r="CS45" t="e">
        <f ca="1">CheckCellColor(IF(MAX(H286:H293)&gt;MAX(J286:J293),INDEX(I286:I293,MATCH(MAX(H286:H293),H286:H293,0)),INDEX(I286:I293,MATCH(MAX(J286:J293),J286:J293,0))))</f>
        <v>#NAME?</v>
      </c>
    </row>
    <row r="46" spans="64:97" x14ac:dyDescent="0.25">
      <c r="BN46" s="13" t="str">
        <f t="shared" ca="1" si="3"/>
        <v/>
      </c>
      <c r="BO46" s="14" t="str">
        <f t="shared" ca="1" si="4"/>
        <v/>
      </c>
      <c r="BP46" s="15" t="str">
        <f t="shared" ca="1" si="0"/>
        <v/>
      </c>
      <c r="BQ46" s="15" t="e">
        <f t="shared" ca="1" si="1"/>
        <v>#N/A</v>
      </c>
      <c r="BR46" s="16" t="e">
        <f t="shared" si="5"/>
        <v>#N/A</v>
      </c>
      <c r="BS46" t="e">
        <f t="shared" ca="1" si="5"/>
        <v>#NAME?</v>
      </c>
      <c r="BT46" t="e">
        <f t="shared" ca="1" si="2"/>
        <v>#NAME?</v>
      </c>
      <c r="BU46" s="17" t="str">
        <f ca="1">IFERROR(IF(BQ46="","",IF(BT45="SKIP",BU45,IF(BT45="LOST",BP45+BU45,BW45*BS21))),"")</f>
        <v/>
      </c>
      <c r="BV46" s="18" t="str">
        <f ca="1">IFERROR(IF(BQ46="","",IF(BT46="SKIP",BV45,BW46-BV21)),"")</f>
        <v/>
      </c>
      <c r="BW46" s="18" t="str">
        <f t="shared" ca="1" si="6"/>
        <v/>
      </c>
      <c r="BX46" s="19" t="str">
        <f ca="1">IFERROR(IF(BQ46="","",IF(BT46="SKIP",BX45,(BW46-BV21)/BV21)),"")</f>
        <v/>
      </c>
      <c r="BY46" s="20" t="e">
        <f t="shared" ca="1" si="7"/>
        <v>#NAME?</v>
      </c>
      <c r="BZ46" s="20" t="e">
        <f t="shared" ca="1" si="8"/>
        <v>#NAME?</v>
      </c>
      <c r="CA46" s="23" t="e">
        <f>MAX(INDEX($D:$F, VLOOKUP($BM$22,$A$1:$CK$17,89,), ))</f>
        <v>#N/A</v>
      </c>
      <c r="CB46" s="23" t="e">
        <f>LARGE(INDEX($D:$F, VLOOKUP($BM$22,$A$1:$CK$17,89,), ),2)</f>
        <v>#N/A</v>
      </c>
      <c r="CC46" s="23" t="e">
        <f>MIN(INDEX($D:$F, VLOOKUP($BM$22,$A$1:$CK$17,89,), ))</f>
        <v>#N/A</v>
      </c>
      <c r="CD46" t="e">
        <f>IF(VLOOKUP($BM$22,$A$1:$CK$17,27,FALSE)="yes","WON","LOST")</f>
        <v>#N/A</v>
      </c>
      <c r="CE46" s="21" t="e">
        <f t="shared" si="9"/>
        <v>#N/A</v>
      </c>
      <c r="CF46" s="21" t="e">
        <f t="shared" si="10"/>
        <v>#N/A</v>
      </c>
      <c r="CG46" s="22" t="e">
        <f t="shared" si="11"/>
        <v>#N/A</v>
      </c>
      <c r="CH46" t="e">
        <f>INDEX(E298:E305,MATCH(MAX(D298:D305),D298:D305,0))</f>
        <v>#N/A</v>
      </c>
      <c r="CI46" t="e">
        <f ca="1">CheckCellColor(INDEX(E298:E305,MATCH(MAX(D298:D305),D298:D305,0)))</f>
        <v>#NAME?</v>
      </c>
      <c r="CJ46" t="e">
        <f>INDEX(E298:E305,MATCH(MAX(F298:F305),F298:F305,0))</f>
        <v>#N/A</v>
      </c>
      <c r="CK46" t="e">
        <f ca="1">CheckCellColor(INDEX(E298:E305,MATCH(MAX(F298:F305),F298:F305,0)))</f>
        <v>#NAME?</v>
      </c>
      <c r="CL46" t="e">
        <f>IF(MAX(D298:D305)&gt;MAX(F298:F305),INDEX(E298:E305,MATCH(MAX(D298:D305),D298:D305,0)),INDEX(E298:E305,MATCH(MAX(F298:F305),F298:F305,0)))</f>
        <v>#N/A</v>
      </c>
      <c r="CM46" t="e">
        <f ca="1">CheckCellColor(IF(MAX(D298:D305)&gt;MAX(F298:F305),INDEX(E298:E305,MATCH(MAX(D298:D305),D298:D305,0)),INDEX(E298:E305,MATCH(MAX(F298:F305),F298:F305,0))))</f>
        <v>#NAME?</v>
      </c>
      <c r="CN46" t="e">
        <f>INDEX(I298:I305,MATCH(MAX(H298:H305),H298:H305,0))</f>
        <v>#N/A</v>
      </c>
      <c r="CO46" t="e">
        <f ca="1">CheckCellColor(INDEX(I298:I305,MATCH(MAX(H298:H305),H298:H305,0)))</f>
        <v>#NAME?</v>
      </c>
      <c r="CP46" t="e">
        <f>INDEX(I298:I305,MATCH(MAX(J298:J305),J298:J305,0))</f>
        <v>#N/A</v>
      </c>
      <c r="CQ46" t="e">
        <f ca="1">CheckCellColor(INDEX(I298:I305,MATCH(MAX(J298:J305),J298:J305,0)))</f>
        <v>#NAME?</v>
      </c>
      <c r="CR46" t="e">
        <f>IF(MAX(H298:H305)&gt;MAX(J298:J305),INDEX(I298:I305,MATCH(MAX(H298:H305),H298:H305,0)),INDEX(I298:I305,MATCH(MAX(J298:J305),J298:J305,0)))</f>
        <v>#N/A</v>
      </c>
      <c r="CS46" t="e">
        <f ca="1">CheckCellColor(IF(MAX(H298:H305)&gt;MAX(J298:J305),INDEX(I298:I305,MATCH(MAX(H298:H305),H298:H305,0)),INDEX(I298:I305,MATCH(MAX(J298:J305),J298:J305,0))))</f>
        <v>#NAME?</v>
      </c>
    </row>
    <row r="47" spans="64:97" x14ac:dyDescent="0.25">
      <c r="BN47" s="13" t="str">
        <f t="shared" ca="1" si="3"/>
        <v/>
      </c>
      <c r="BO47" s="14" t="str">
        <f t="shared" ca="1" si="4"/>
        <v/>
      </c>
      <c r="BP47" s="15" t="str">
        <f t="shared" ca="1" si="0"/>
        <v/>
      </c>
      <c r="BQ47" s="15" t="e">
        <f t="shared" ca="1" si="1"/>
        <v>#N/A</v>
      </c>
      <c r="BR47" s="16" t="e">
        <f t="shared" si="5"/>
        <v>#N/A</v>
      </c>
      <c r="BS47" t="e">
        <f t="shared" ca="1" si="5"/>
        <v>#NAME?</v>
      </c>
      <c r="BT47" t="e">
        <f t="shared" ca="1" si="2"/>
        <v>#NAME?</v>
      </c>
      <c r="BU47" s="17" t="str">
        <f ca="1">IFERROR(IF(BQ47="","",IF(BT46="SKIP",BU46,IF(BT46="LOST",BP46+BU46,BW46*BS21))),"")</f>
        <v/>
      </c>
      <c r="BV47" s="18" t="str">
        <f ca="1">IFERROR(IF(BQ47="","",IF(BT47="SKIP",BV46,BW47-BV21)),"")</f>
        <v/>
      </c>
      <c r="BW47" s="18" t="str">
        <f t="shared" ca="1" si="6"/>
        <v/>
      </c>
      <c r="BX47" s="19" t="str">
        <f ca="1">IFERROR(IF(BQ47="","",IF(BT47="SKIP",BX46,(BW47-BV21)/BV21)),"")</f>
        <v/>
      </c>
      <c r="BY47" s="20" t="e">
        <f t="shared" ca="1" si="7"/>
        <v>#NAME?</v>
      </c>
      <c r="BZ47" s="20" t="e">
        <f t="shared" ca="1" si="8"/>
        <v>#NAME?</v>
      </c>
      <c r="CA47" s="23" t="e">
        <f>MAX(INDEX($D:$F, VLOOKUP($BM$22,$A$1:$CL$17,90,), ))</f>
        <v>#N/A</v>
      </c>
      <c r="CB47" s="23" t="e">
        <f>LARGE(INDEX($D:$F, VLOOKUP($BM$22,$A$1:$CL$17,90,), ),2)</f>
        <v>#N/A</v>
      </c>
      <c r="CC47" s="23" t="e">
        <f>MIN(INDEX($D:$F, VLOOKUP($BM$22,$A$1:$CL$17,90,), ))</f>
        <v>#N/A</v>
      </c>
      <c r="CD47" t="e">
        <f>IF(VLOOKUP($BM$22,$A$1:$CL$17,28,FALSE)="yes","WON","LOST")</f>
        <v>#N/A</v>
      </c>
      <c r="CE47" s="21" t="e">
        <f t="shared" si="9"/>
        <v>#N/A</v>
      </c>
      <c r="CF47" s="21" t="e">
        <f t="shared" si="10"/>
        <v>#N/A</v>
      </c>
      <c r="CG47" s="22" t="e">
        <f t="shared" si="11"/>
        <v>#N/A</v>
      </c>
      <c r="CH47" t="e">
        <f>INDEX(E310:E317,MATCH(MAX(D310:D317),D310:D317,0))</f>
        <v>#N/A</v>
      </c>
      <c r="CI47" t="e">
        <f ca="1">CheckCellColor(INDEX(E310:E317,MATCH(MAX(D310:D317),D310:D317,0)))</f>
        <v>#NAME?</v>
      </c>
      <c r="CJ47" t="e">
        <f>INDEX(E310:E317,MATCH(MAX(F310:F317),F310:F317,0))</f>
        <v>#N/A</v>
      </c>
      <c r="CK47" t="e">
        <f ca="1">CheckCellColor(INDEX(E310:E317,MATCH(MAX(F310:F317),F310:F317,0)))</f>
        <v>#NAME?</v>
      </c>
      <c r="CL47" t="e">
        <f>IF(MAX(D310:D317)&gt;MAX(F310:F317),INDEX(E310:E317,MATCH(MAX(D310:D317),D310:D317,0)),INDEX(E310:E317,MATCH(MAX(F310:F317),F310:F317,0)))</f>
        <v>#N/A</v>
      </c>
      <c r="CM47" t="e">
        <f ca="1">CheckCellColor(IF(MAX(D310:D317)&gt;MAX(F310:F317),INDEX(E310:E317,MATCH(MAX(D310:D317),D310:D317,0)),INDEX(E310:E317,MATCH(MAX(F310:F317),F310:F317,0))))</f>
        <v>#NAME?</v>
      </c>
      <c r="CN47" t="e">
        <f>INDEX(I310:I317,MATCH(MAX(H310:H317),H310:H317,0))</f>
        <v>#N/A</v>
      </c>
      <c r="CO47" t="e">
        <f ca="1">CheckCellColor(INDEX(I310:I317,MATCH(MAX(H310:H317),H310:H317,0)))</f>
        <v>#NAME?</v>
      </c>
      <c r="CP47" t="e">
        <f>INDEX(I310:I317,MATCH(MAX(J310:J317),J310:J317,0))</f>
        <v>#N/A</v>
      </c>
      <c r="CQ47" t="e">
        <f ca="1">CheckCellColor(INDEX(I310:I317,MATCH(MAX(J310:J317),J310:J317,0)))</f>
        <v>#NAME?</v>
      </c>
      <c r="CR47" t="e">
        <f>IF(MAX(H310:H317)&gt;MAX(J310:J317),INDEX(I310:I317,MATCH(MAX(H310:H317),H310:H317,0)),INDEX(I310:I317,MATCH(MAX(J310:J317),J310:J317,0)))</f>
        <v>#N/A</v>
      </c>
      <c r="CS47" t="e">
        <f ca="1">CheckCellColor(IF(MAX(H310:H317)&gt;MAX(J310:J317),INDEX(I310:I317,MATCH(MAX(H310:H317),H310:H317,0)),INDEX(I310:I317,MATCH(MAX(J310:J317),J310:J317,0))))</f>
        <v>#NAME?</v>
      </c>
    </row>
    <row r="48" spans="64:97" x14ac:dyDescent="0.25">
      <c r="BN48" s="13" t="str">
        <f t="shared" ca="1" si="3"/>
        <v/>
      </c>
      <c r="BO48" s="14" t="str">
        <f t="shared" ca="1" si="4"/>
        <v/>
      </c>
      <c r="BP48" s="15" t="str">
        <f t="shared" ca="1" si="0"/>
        <v/>
      </c>
      <c r="BQ48" s="15" t="e">
        <f t="shared" ca="1" si="1"/>
        <v>#N/A</v>
      </c>
      <c r="BR48" s="16" t="e">
        <f t="shared" si="5"/>
        <v>#N/A</v>
      </c>
      <c r="BS48" t="e">
        <f t="shared" ca="1" si="5"/>
        <v>#NAME?</v>
      </c>
      <c r="BT48" t="e">
        <f t="shared" ca="1" si="2"/>
        <v>#NAME?</v>
      </c>
      <c r="BU48" s="17" t="str">
        <f ca="1">IFERROR(IF(BQ48="","",IF(BT47="SKIP",BU47,IF(BT47="LOST",BP47+BU47,BW47*BS21))),"")</f>
        <v/>
      </c>
      <c r="BV48" s="18" t="str">
        <f ca="1">IFERROR(IF(BQ48="","",IF(BT48="SKIP",BV47,BW48-BV21)),"")</f>
        <v/>
      </c>
      <c r="BW48" s="18" t="str">
        <f t="shared" ca="1" si="6"/>
        <v/>
      </c>
      <c r="BX48" s="19" t="str">
        <f ca="1">IFERROR(IF(BQ48="","",IF(BT48="SKIP",BX47,(BW48-BV21)/BV21)),"")</f>
        <v/>
      </c>
      <c r="BY48" s="20" t="e">
        <f t="shared" ca="1" si="7"/>
        <v>#NAME?</v>
      </c>
      <c r="BZ48" s="20" t="e">
        <f t="shared" ca="1" si="8"/>
        <v>#NAME?</v>
      </c>
      <c r="CA48" s="23" t="e">
        <f>MAX(INDEX($D:$F, VLOOKUP($BM$22,$A$1:$CM$17,91,), ))</f>
        <v>#N/A</v>
      </c>
      <c r="CB48" s="23" t="e">
        <f>LARGE(INDEX($D:$F, VLOOKUP($BM$22,$A$1:$CM$17,91,), ),2)</f>
        <v>#N/A</v>
      </c>
      <c r="CC48" s="23" t="e">
        <f>MIN(INDEX($D:$F, VLOOKUP($BM$22,$A$1:$CM$17,91,), ))</f>
        <v>#N/A</v>
      </c>
      <c r="CD48" t="e">
        <f>IF(VLOOKUP($BM$22,$A$1:$CM$17,29,FALSE)="yes","WON","LOST")</f>
        <v>#N/A</v>
      </c>
      <c r="CE48" s="21" t="e">
        <f t="shared" si="9"/>
        <v>#N/A</v>
      </c>
      <c r="CF48" s="21" t="e">
        <f t="shared" si="10"/>
        <v>#N/A</v>
      </c>
      <c r="CG48" s="22" t="e">
        <f t="shared" si="11"/>
        <v>#N/A</v>
      </c>
      <c r="CH48" t="e">
        <f>INDEX(E322:E329,MATCH(MAX(D322:D329),D322:D329,0))</f>
        <v>#N/A</v>
      </c>
      <c r="CI48" t="e">
        <f ca="1">CheckCellColor(INDEX(E322:E329,MATCH(MAX(D322:D329),D322:D329,0)))</f>
        <v>#NAME?</v>
      </c>
      <c r="CJ48" t="e">
        <f>INDEX(E322:E329,MATCH(MAX(F322:F329),F322:F329,0))</f>
        <v>#N/A</v>
      </c>
      <c r="CK48" t="e">
        <f ca="1">CheckCellColor(INDEX(E322:E329,MATCH(MAX(F322:F329),F322:F329,0)))</f>
        <v>#NAME?</v>
      </c>
      <c r="CL48" t="e">
        <f>IF(MAX(D322:D329)&gt;MAX(F322:F329),INDEX(E322:E329,MATCH(MAX(D322:D329),D322:D329,0)),INDEX(E322:E329,MATCH(MAX(F322:F329),F322:F329,0)))</f>
        <v>#N/A</v>
      </c>
      <c r="CM48" t="e">
        <f ca="1">CheckCellColor(IF(MAX(D322:D329)&gt;MAX(F322:F329),INDEX(E322:E329,MATCH(MAX(D322:D329),D322:D329,0)),INDEX(E322:E329,MATCH(MAX(F322:F329),F322:F329,0))))</f>
        <v>#NAME?</v>
      </c>
      <c r="CN48" t="e">
        <f>INDEX(I322:I329,MATCH(MAX(H322:H329),H322:H329,0))</f>
        <v>#N/A</v>
      </c>
      <c r="CO48" t="e">
        <f ca="1">CheckCellColor(INDEX(I322:I329,MATCH(MAX(H322:H329),H322:H329,0)))</f>
        <v>#NAME?</v>
      </c>
      <c r="CP48" t="e">
        <f>INDEX(I322:I329,MATCH(MAX(J322:J329),J322:J329,0))</f>
        <v>#N/A</v>
      </c>
      <c r="CQ48" t="e">
        <f ca="1">CheckCellColor(INDEX(I322:I329,MATCH(MAX(J322:J329),J322:J329,0)))</f>
        <v>#NAME?</v>
      </c>
      <c r="CR48" t="e">
        <f>IF(MAX(H322:H329)&gt;MAX(J322:J329),INDEX(I322:I329,MATCH(MAX(H322:H329),H322:H329,0)),INDEX(I322:I329,MATCH(MAX(J322:J329),J322:J329,0)))</f>
        <v>#N/A</v>
      </c>
      <c r="CS48" t="e">
        <f ca="1">CheckCellColor(IF(MAX(H322:H329)&gt;MAX(J322:J329),INDEX(I322:I329,MATCH(MAX(H322:H329),H322:H329,0)),INDEX(I322:I329,MATCH(MAX(J322:J329),J322:J329,0))))</f>
        <v>#NAME?</v>
      </c>
    </row>
    <row r="49" spans="66:97" x14ac:dyDescent="0.25">
      <c r="BN49" s="13" t="str">
        <f t="shared" ca="1" si="3"/>
        <v/>
      </c>
      <c r="BO49" s="14" t="str">
        <f t="shared" ca="1" si="4"/>
        <v/>
      </c>
      <c r="BP49" s="15" t="str">
        <f t="shared" ca="1" si="0"/>
        <v/>
      </c>
      <c r="BQ49" s="15" t="e">
        <f t="shared" ca="1" si="1"/>
        <v>#N/A</v>
      </c>
      <c r="BR49" s="16" t="e">
        <f t="shared" si="5"/>
        <v>#N/A</v>
      </c>
      <c r="BS49" t="e">
        <f t="shared" ca="1" si="5"/>
        <v>#NAME?</v>
      </c>
      <c r="BT49" t="e">
        <f t="shared" ca="1" si="2"/>
        <v>#NAME?</v>
      </c>
      <c r="BU49" s="17" t="str">
        <f ca="1">IFERROR(IF(BQ49="","",IF(BT48="SKIP",BU48,IF(BT48="LOST",BP48+BU48,BW48*BS21))),"")</f>
        <v/>
      </c>
      <c r="BV49" s="18" t="str">
        <f ca="1">IFERROR(IF(BQ49="","",IF(BT49="SKIP",BV48,BW49-BV21)),"")</f>
        <v/>
      </c>
      <c r="BW49" s="18" t="str">
        <f t="shared" ca="1" si="6"/>
        <v/>
      </c>
      <c r="BX49" s="19" t="str">
        <f ca="1">IFERROR(IF(BQ49="","",IF(BT49="SKIP",BX48,(BW49-BV21)/BV21)),"")</f>
        <v/>
      </c>
      <c r="BY49" s="20" t="e">
        <f t="shared" ca="1" si="7"/>
        <v>#NAME?</v>
      </c>
      <c r="BZ49" s="20" t="e">
        <f t="shared" ca="1" si="8"/>
        <v>#NAME?</v>
      </c>
      <c r="CA49" s="23" t="e">
        <f>MAX(INDEX($D:$F, VLOOKUP($BM$22,$A$1:$CN$17,92,), ))</f>
        <v>#N/A</v>
      </c>
      <c r="CB49" s="23" t="e">
        <f>LARGE(INDEX($D:$F, VLOOKUP($BM$22,$A$1:$CN$17,92,), ),2)</f>
        <v>#N/A</v>
      </c>
      <c r="CC49" s="23" t="e">
        <f>MIN(INDEX($D:$F, VLOOKUP($BM$22,$A$1:$CN$17,92,), ))</f>
        <v>#N/A</v>
      </c>
      <c r="CD49" t="e">
        <f>IF(VLOOKUP($BM$22,$A$1:$CN$17,30,FALSE)="yes","WON","LOST")</f>
        <v>#N/A</v>
      </c>
      <c r="CE49" s="21" t="e">
        <f t="shared" si="9"/>
        <v>#N/A</v>
      </c>
      <c r="CF49" s="21" t="e">
        <f t="shared" si="10"/>
        <v>#N/A</v>
      </c>
      <c r="CG49" s="22" t="e">
        <f t="shared" si="11"/>
        <v>#N/A</v>
      </c>
      <c r="CH49" t="e">
        <f>INDEX(E334:E341,MATCH(MAX(D334:D341),D334:D341,0))</f>
        <v>#N/A</v>
      </c>
      <c r="CI49" t="e">
        <f ca="1">CheckCellColor(INDEX(E334:E341,MATCH(MAX(D334:D341),D334:D341,0)))</f>
        <v>#NAME?</v>
      </c>
      <c r="CJ49" t="e">
        <f>INDEX(E334:E341,MATCH(MAX(F334:F341),F334:F341,0))</f>
        <v>#N/A</v>
      </c>
      <c r="CK49" t="e">
        <f ca="1">CheckCellColor(INDEX(E334:E341,MATCH(MAX(F334:F341),F334:F341,0)))</f>
        <v>#NAME?</v>
      </c>
      <c r="CL49" t="e">
        <f>IF(MAX(D334:D341)&gt;MAX(F334:F341),INDEX(E334:E341,MATCH(MAX(D334:D341),D334:D341,0)),INDEX(E334:E341,MATCH(MAX(F334:F341),F334:F341,0)))</f>
        <v>#N/A</v>
      </c>
      <c r="CM49" t="e">
        <f ca="1">CheckCellColor(IF(MAX(D334:D341)&gt;MAX(F334:F341),INDEX(E334:E341,MATCH(MAX(D334:D341),D334:D341,0)),INDEX(E334:E341,MATCH(MAX(F334:F341),F334:F341,0))))</f>
        <v>#NAME?</v>
      </c>
      <c r="CN49" t="e">
        <f>INDEX(I334:I341,MATCH(MAX(H334:H341),H334:H341,0))</f>
        <v>#N/A</v>
      </c>
      <c r="CO49" t="e">
        <f ca="1">CheckCellColor(INDEX(I334:I341,MATCH(MAX(H334:H341),H334:H341,0)))</f>
        <v>#NAME?</v>
      </c>
      <c r="CP49" t="e">
        <f>INDEX(I334:I341,MATCH(MAX(J334:J341),J334:J341,0))</f>
        <v>#N/A</v>
      </c>
      <c r="CQ49" t="e">
        <f ca="1">CheckCellColor(INDEX(I334:I341,MATCH(MAX(J334:J341),J334:J341,0)))</f>
        <v>#NAME?</v>
      </c>
      <c r="CR49" t="e">
        <f>IF(MAX(H334:H341)&gt;MAX(J334:J341),INDEX(I334:I341,MATCH(MAX(H334:H341),H334:H341,0)),INDEX(I334:I341,MATCH(MAX(J334:J341),J334:J341,0)))</f>
        <v>#N/A</v>
      </c>
      <c r="CS49" t="e">
        <f ca="1">CheckCellColor(IF(MAX(H334:H341)&gt;MAX(J334:J341),INDEX(I334:I341,MATCH(MAX(H334:H341),H334:H341,0)),INDEX(I334:I341,MATCH(MAX(J334:J341),J334:J341,0))))</f>
        <v>#NAME?</v>
      </c>
    </row>
    <row r="50" spans="66:97" x14ac:dyDescent="0.25">
      <c r="BN50" s="13" t="str">
        <f t="shared" ca="1" si="3"/>
        <v/>
      </c>
      <c r="BO50" s="14" t="str">
        <f t="shared" ca="1" si="4"/>
        <v/>
      </c>
      <c r="BP50" s="15" t="str">
        <f t="shared" ca="1" si="0"/>
        <v/>
      </c>
      <c r="BQ50" s="15" t="e">
        <f t="shared" ca="1" si="1"/>
        <v>#N/A</v>
      </c>
      <c r="BR50" s="16" t="e">
        <f t="shared" si="5"/>
        <v>#N/A</v>
      </c>
      <c r="BS50" t="e">
        <f t="shared" ca="1" si="5"/>
        <v>#NAME?</v>
      </c>
      <c r="BT50" t="e">
        <f t="shared" ca="1" si="2"/>
        <v>#NAME?</v>
      </c>
      <c r="BU50" s="17" t="str">
        <f ca="1">IFERROR(IF(BQ50="","",IF(BT49="SKIP",BU49,IF(BT49="LOST",BP49+BU49,BW49*BS21))),"")</f>
        <v/>
      </c>
      <c r="BV50" s="18" t="str">
        <f ca="1">IFERROR(IF(BQ50="","",IF(BT50="SKIP",BV49,BW50-BV21)),"")</f>
        <v/>
      </c>
      <c r="BW50" s="18" t="str">
        <f t="shared" ca="1" si="6"/>
        <v/>
      </c>
      <c r="BX50" s="19" t="str">
        <f ca="1">IFERROR(IF(BQ50="","",IF(BT50="SKIP",BX49,(BW50-BV21)/BV21)),"")</f>
        <v/>
      </c>
      <c r="BY50" s="20" t="e">
        <f t="shared" ca="1" si="7"/>
        <v>#NAME?</v>
      </c>
      <c r="BZ50" s="20" t="e">
        <f t="shared" ca="1" si="8"/>
        <v>#NAME?</v>
      </c>
      <c r="CA50" s="23" t="e">
        <f>MAX(INDEX($D:$F, VLOOKUP($BM$22,$A$1:$CO$17,93,), ))</f>
        <v>#N/A</v>
      </c>
      <c r="CB50" s="23" t="e">
        <f>LARGE(INDEX($D:$F, VLOOKUP($BM$22,$A$1:$CO$17,93,), ),2)</f>
        <v>#N/A</v>
      </c>
      <c r="CC50" s="23" t="e">
        <f>MIN(INDEX($D:$F, VLOOKUP($BM$22,$A$1:$CO$17,93,), ))</f>
        <v>#N/A</v>
      </c>
      <c r="CD50" t="e">
        <f>IF(VLOOKUP($BM$22,$A$1:$CO$17,31,FALSE)="yes","WON","LOST")</f>
        <v>#N/A</v>
      </c>
      <c r="CE50" s="21" t="e">
        <f t="shared" si="9"/>
        <v>#N/A</v>
      </c>
      <c r="CF50" s="21" t="e">
        <f t="shared" si="10"/>
        <v>#N/A</v>
      </c>
      <c r="CG50" s="22" t="e">
        <f t="shared" si="11"/>
        <v>#N/A</v>
      </c>
      <c r="CH50" t="e">
        <f>INDEX(E346:E353,MATCH(MAX(D346:D353),D346:D353,0))</f>
        <v>#N/A</v>
      </c>
      <c r="CI50" t="e">
        <f ca="1">CheckCellColor(INDEX(E346:E353,MATCH(MAX(D346:D353),D346:D353,0)))</f>
        <v>#NAME?</v>
      </c>
      <c r="CJ50" t="e">
        <f>INDEX(E346:E353,MATCH(MAX(F346:F353),F346:F353,0))</f>
        <v>#N/A</v>
      </c>
      <c r="CK50" t="e">
        <f ca="1">CheckCellColor(INDEX(E346:E353,MATCH(MAX(F346:F353),F346:F353,0)))</f>
        <v>#NAME?</v>
      </c>
      <c r="CL50" t="e">
        <f>IF(MAX(D346:D353)&gt;MAX(F346:F353),INDEX(E346:E353,MATCH(MAX(D346:D353),D346:D353,0)),INDEX(E346:E353,MATCH(MAX(F346:F353),F346:F353,0)))</f>
        <v>#N/A</v>
      </c>
      <c r="CM50" t="e">
        <f ca="1">CheckCellColor(IF(MAX(D346:D353)&gt;MAX(F346:F353),INDEX(E346:E353,MATCH(MAX(D346:D353),D346:D353,0)),INDEX(E346:E353,MATCH(MAX(F346:F353),F346:F353,0))))</f>
        <v>#NAME?</v>
      </c>
      <c r="CN50" t="e">
        <f>INDEX(I346:I353,MATCH(MAX(H346:H353),H346:H353,0))</f>
        <v>#N/A</v>
      </c>
      <c r="CO50" t="e">
        <f ca="1">CheckCellColor(INDEX(I346:I353,MATCH(MAX(H346:H353),H346:H353,0)))</f>
        <v>#NAME?</v>
      </c>
      <c r="CP50" t="e">
        <f>INDEX(I346:I353,MATCH(MAX(J346:J353),J346:J353,0))</f>
        <v>#N/A</v>
      </c>
      <c r="CQ50" t="e">
        <f ca="1">CheckCellColor(INDEX(I346:I353,MATCH(MAX(J346:J353),J346:J353,0)))</f>
        <v>#NAME?</v>
      </c>
      <c r="CR50" t="e">
        <f>IF(MAX(H346:H353)&gt;MAX(J346:J353),INDEX(I346:I353,MATCH(MAX(H346:H353),H346:H353,0)),INDEX(I346:I353,MATCH(MAX(J346:J353),J346:J353,0)))</f>
        <v>#N/A</v>
      </c>
      <c r="CS50" t="e">
        <f ca="1">CheckCellColor(IF(MAX(H346:H353)&gt;MAX(J346:J353),INDEX(I346:I353,MATCH(MAX(H346:H353),H346:H353,0)),INDEX(I346:I353,MATCH(MAX(J346:J353),J346:J353,0))))</f>
        <v>#NAME?</v>
      </c>
    </row>
    <row r="51" spans="66:97" x14ac:dyDescent="0.25">
      <c r="BN51" s="13" t="str">
        <f t="shared" ca="1" si="3"/>
        <v/>
      </c>
      <c r="BO51" s="14" t="str">
        <f t="shared" ca="1" si="4"/>
        <v/>
      </c>
      <c r="BP51" s="15" t="str">
        <f t="shared" ca="1" si="0"/>
        <v/>
      </c>
      <c r="BQ51" s="15" t="e">
        <f t="shared" ca="1" si="1"/>
        <v>#N/A</v>
      </c>
      <c r="BR51" s="16" t="e">
        <f t="shared" si="5"/>
        <v>#N/A</v>
      </c>
      <c r="BS51" t="e">
        <f t="shared" ca="1" si="5"/>
        <v>#NAME?</v>
      </c>
      <c r="BT51" t="e">
        <f t="shared" ca="1" si="2"/>
        <v>#NAME?</v>
      </c>
      <c r="BU51" s="17" t="str">
        <f ca="1">IFERROR(IF(BQ51="","",IF(BT50="SKIP",BU50,IF(BT50="LOST",BP50+BU50,BW50*BS21))),"")</f>
        <v/>
      </c>
      <c r="BV51" s="18" t="str">
        <f ca="1">IFERROR(IF(BQ51="","",IF(BT51="SKIP",BV50,BW51-BV21)),"")</f>
        <v/>
      </c>
      <c r="BW51" s="18" t="str">
        <f t="shared" ca="1" si="6"/>
        <v/>
      </c>
      <c r="BX51" s="19" t="str">
        <f ca="1">IFERROR(IF(BQ51="","",IF(BT51="SKIP",BX50,(BW51-BV21)/BV21)),"")</f>
        <v/>
      </c>
      <c r="BY51" s="20" t="e">
        <f t="shared" ca="1" si="7"/>
        <v>#NAME?</v>
      </c>
      <c r="BZ51" s="20" t="e">
        <f t="shared" ca="1" si="8"/>
        <v>#NAME?</v>
      </c>
      <c r="CA51" s="23" t="e">
        <f>MAX(INDEX($D:$F, VLOOKUP($BM$22,$A$1:$CP$17,94,), ))</f>
        <v>#N/A</v>
      </c>
      <c r="CB51" s="23" t="e">
        <f>LARGE(INDEX($D:$F, VLOOKUP($BM$22,$A$1:$CP$17,94,), ),2)</f>
        <v>#N/A</v>
      </c>
      <c r="CC51" s="23" t="e">
        <f>MIN(INDEX($D:$F, VLOOKUP($BM$22,$A$1:$CP$17,94,), ))</f>
        <v>#N/A</v>
      </c>
      <c r="CD51" t="e">
        <f>IF(VLOOKUP($BM$22,$A$1:$CP$17,32,FALSE)="yes","WON","LOST")</f>
        <v>#N/A</v>
      </c>
      <c r="CE51" s="21" t="e">
        <f t="shared" si="9"/>
        <v>#N/A</v>
      </c>
      <c r="CF51" s="21" t="e">
        <f t="shared" si="10"/>
        <v>#N/A</v>
      </c>
      <c r="CG51" s="22" t="e">
        <f t="shared" si="11"/>
        <v>#N/A</v>
      </c>
      <c r="CH51" t="e">
        <f>INDEX(E358:E365,MATCH(MAX(D358:D365),D358:D365,0))</f>
        <v>#N/A</v>
      </c>
      <c r="CI51" t="e">
        <f ca="1">CheckCellColor(INDEX(E358:E365,MATCH(MAX(D358:D365),D358:D365,0)))</f>
        <v>#NAME?</v>
      </c>
      <c r="CJ51" t="e">
        <f>INDEX(E358:E365,MATCH(MAX(F358:F365),F358:F365,0))</f>
        <v>#N/A</v>
      </c>
      <c r="CK51" t="e">
        <f ca="1">CheckCellColor(INDEX(E358:E365,MATCH(MAX(F358:F365),F358:F365,0)))</f>
        <v>#NAME?</v>
      </c>
      <c r="CL51" t="e">
        <f>IF(MAX(D358:D365)&gt;MAX(F358:F365),INDEX(E358:E365,MATCH(MAX(D358:D365),D358:D365,0)),INDEX(E358:E365,MATCH(MAX(F358:F365),F358:F365,0)))</f>
        <v>#N/A</v>
      </c>
      <c r="CM51" t="e">
        <f ca="1">CheckCellColor(IF(MAX(D358:D365)&gt;MAX(F358:F365),INDEX(E358:E365,MATCH(MAX(D358:D365),D358:D365,0)),INDEX(E358:E365,MATCH(MAX(F358:F365),F358:F365,0))))</f>
        <v>#NAME?</v>
      </c>
      <c r="CN51" t="e">
        <f>INDEX(I358:I365,MATCH(MAX(H358:H365),H358:H365,0))</f>
        <v>#N/A</v>
      </c>
      <c r="CO51" t="e">
        <f ca="1">CheckCellColor(INDEX(I358:I365,MATCH(MAX(H358:H365),H358:H365,0)))</f>
        <v>#NAME?</v>
      </c>
      <c r="CP51" t="e">
        <f>INDEX(I358:I365,MATCH(MAX(J358:J365),J358:J365,0))</f>
        <v>#N/A</v>
      </c>
      <c r="CQ51" t="e">
        <f ca="1">CheckCellColor(INDEX(I358:I365,MATCH(MAX(J358:J365),J358:J365,0)))</f>
        <v>#NAME?</v>
      </c>
      <c r="CR51" t="e">
        <f>IF(MAX(H358:H365)&gt;MAX(J358:J365),INDEX(I358:I365,MATCH(MAX(H358:H365),H358:H365,0)),INDEX(I358:I365,MATCH(MAX(J358:J365),J358:J365,0)))</f>
        <v>#N/A</v>
      </c>
      <c r="CS51" t="e">
        <f ca="1">CheckCellColor(IF(MAX(H358:H365)&gt;MAX(J358:J365),INDEX(I358:I365,MATCH(MAX(H358:H365),H358:H365,0)),INDEX(I358:I365,MATCH(MAX(J358:J365),J358:J365,0))))</f>
        <v>#NAME?</v>
      </c>
    </row>
    <row r="52" spans="66:97" x14ac:dyDescent="0.25">
      <c r="BN52" s="13" t="str">
        <f t="shared" ca="1" si="3"/>
        <v/>
      </c>
      <c r="BO52" s="14" t="str">
        <f t="shared" ca="1" si="4"/>
        <v/>
      </c>
      <c r="BP52" s="15" t="str">
        <f t="shared" ca="1" si="0"/>
        <v/>
      </c>
      <c r="BQ52" s="15" t="e">
        <f t="shared" ca="1" si="1"/>
        <v>#N/A</v>
      </c>
      <c r="BR52" s="16" t="e">
        <f t="shared" si="5"/>
        <v>#N/A</v>
      </c>
      <c r="BS52" t="e">
        <f t="shared" ca="1" si="5"/>
        <v>#NAME?</v>
      </c>
      <c r="BT52" t="e">
        <f t="shared" ca="1" si="2"/>
        <v>#NAME?</v>
      </c>
      <c r="BU52" s="17" t="str">
        <f ca="1">IFERROR(IF(BQ52="","",IF(BT51="SKIP",BU51,IF(BT51="LOST",BP51+BU51,BW51*BS21))),"")</f>
        <v/>
      </c>
      <c r="BV52" s="18" t="str">
        <f ca="1">IFERROR(IF(BQ52="","",IF(BT52="SKIP",BV51,BW52-BV21)),"")</f>
        <v/>
      </c>
      <c r="BW52" s="18" t="str">
        <f t="shared" ca="1" si="6"/>
        <v/>
      </c>
      <c r="BX52" s="19" t="str">
        <f ca="1">IFERROR(IF(BQ52="","",IF(BT52="SKIP",BX51,(BW52-BV21)/BV21)),"")</f>
        <v/>
      </c>
      <c r="BY52" s="20" t="e">
        <f t="shared" ca="1" si="7"/>
        <v>#NAME?</v>
      </c>
      <c r="BZ52" s="20" t="e">
        <f t="shared" ca="1" si="8"/>
        <v>#NAME?</v>
      </c>
      <c r="CA52" s="23" t="e">
        <f>MAX(INDEX($D:$F, VLOOKUP($BM$22,$A$1:$CQ$17,95,), ))</f>
        <v>#N/A</v>
      </c>
      <c r="CB52" s="23" t="e">
        <f>LARGE(INDEX($D:$F, VLOOKUP($BM$22,$A$1:$CQ$17,95,), ),2)</f>
        <v>#N/A</v>
      </c>
      <c r="CC52" s="23" t="e">
        <f>MIN(INDEX($D:$F, VLOOKUP($BM$22,$A$1:$CQ$17,95,), ))</f>
        <v>#N/A</v>
      </c>
      <c r="CD52" t="e">
        <f>IF(VLOOKUP($BM$22,$A$1:$CQ$17,33,FALSE)="yes","WON","LOST")</f>
        <v>#N/A</v>
      </c>
      <c r="CE52" s="21" t="e">
        <f t="shared" si="9"/>
        <v>#N/A</v>
      </c>
      <c r="CF52" s="21" t="e">
        <f t="shared" si="10"/>
        <v>#N/A</v>
      </c>
      <c r="CG52" s="22" t="e">
        <f t="shared" si="11"/>
        <v>#N/A</v>
      </c>
      <c r="CH52" t="e">
        <f>INDEX(E370:E377,MATCH(MAX(D370:D377),D370:D377,0))</f>
        <v>#N/A</v>
      </c>
      <c r="CI52" t="e">
        <f ca="1">CheckCellColor(INDEX(E370:E377,MATCH(MAX(D370:D377),D370:D377,0)))</f>
        <v>#NAME?</v>
      </c>
      <c r="CJ52" t="e">
        <f>INDEX(E370:E377,MATCH(MAX(F370:F377),F370:F377,0))</f>
        <v>#N/A</v>
      </c>
      <c r="CK52" t="e">
        <f ca="1">CheckCellColor(INDEX(E370:E377,MATCH(MAX(F370:F377),F370:F377,0)))</f>
        <v>#NAME?</v>
      </c>
      <c r="CL52" t="e">
        <f>IF(MAX(D370:D377)&gt;MAX(F370:F377),INDEX(E370:E377,MATCH(MAX(D370:D377),D370:D377,0)),INDEX(E370:E377,MATCH(MAX(F370:F377),F370:F377,0)))</f>
        <v>#N/A</v>
      </c>
      <c r="CM52" t="e">
        <f ca="1">CheckCellColor(IF(MAX(D370:D377)&gt;MAX(F370:F377),INDEX(E370:E377,MATCH(MAX(D370:D377),D370:D377,0)),INDEX(E370:E377,MATCH(MAX(F370:F377),F370:F377,0))))</f>
        <v>#NAME?</v>
      </c>
      <c r="CN52" t="e">
        <f>INDEX(I370:I377,MATCH(MAX(H370:H377),H370:H377,0))</f>
        <v>#N/A</v>
      </c>
      <c r="CO52" t="e">
        <f ca="1">CheckCellColor(INDEX(I370:I377,MATCH(MAX(H370:H377),H370:H377,0)))</f>
        <v>#NAME?</v>
      </c>
      <c r="CP52" t="e">
        <f>INDEX(I370:I377,MATCH(MAX(J370:J377),J370:J377,0))</f>
        <v>#N/A</v>
      </c>
      <c r="CQ52" t="e">
        <f ca="1">CheckCellColor(INDEX(I370:I377,MATCH(MAX(J370:J377),J370:J377,0)))</f>
        <v>#NAME?</v>
      </c>
      <c r="CR52" t="e">
        <f>IF(MAX(H370:H377)&gt;MAX(J370:J377),INDEX(I370:I377,MATCH(MAX(H370:H377),H370:H377,0)),INDEX(I370:I377,MATCH(MAX(J370:J377),J370:J377,0)))</f>
        <v>#N/A</v>
      </c>
      <c r="CS52" t="e">
        <f ca="1">CheckCellColor(IF(MAX(H370:H377)&gt;MAX(J370:J377),INDEX(I370:I377,MATCH(MAX(H370:H377),H370:H377,0)),INDEX(I370:I377,MATCH(MAX(J370:J377),J370:J377,0))))</f>
        <v>#NAME?</v>
      </c>
    </row>
  </sheetData>
  <mergeCells count="1">
    <mergeCell ref="BL30:BM30"/>
  </mergeCells>
  <conditionalFormatting sqref="BN23:BN52">
    <cfRule type="cellIs" dxfId="175" priority="88" operator="lessThanOrEqual">
      <formula>0</formula>
    </cfRule>
  </conditionalFormatting>
  <conditionalFormatting sqref="BP23:BQ52">
    <cfRule type="containsText" dxfId="172" priority="86" operator="containsText" text="NO BET">
      <formula>NOT(ISERROR(SEARCH("NO BET",BP23)))</formula>
    </cfRule>
    <cfRule type="cellIs" dxfId="173" priority="86" operator="lessThan">
      <formula>50</formula>
    </cfRule>
  </conditionalFormatting>
  <conditionalFormatting sqref="BS23:BS52">
    <cfRule type="containsText" dxfId="167" priority="81" operator="containsText" text="SKIP">
      <formula>NOT(ISERROR(SEARCH("SKIP",BS23)))</formula>
    </cfRule>
    <cfRule type="containsText" dxfId="168" priority="81" operator="containsText" text="Lost">
      <formula>NOT(ISERROR(SEARCH("Lost",BS23)))</formula>
    </cfRule>
    <cfRule type="containsText" dxfId="169" priority="81" operator="containsText" text="Won">
      <formula>NOT(ISERROR(SEARCH("Won",BS23)))</formula>
    </cfRule>
    <cfRule type="containsText" dxfId="165" priority="81" operator="containsText" text="Lost">
      <formula>NOT(ISERROR(SEARCH("Lost",BS23)))</formula>
    </cfRule>
    <cfRule type="containsText" dxfId="166" priority="81" operator="containsText" text="Won">
      <formula>NOT(ISERROR(SEARCH("Won",BS23)))</formula>
    </cfRule>
  </conditionalFormatting>
  <conditionalFormatting sqref="BW23:BW52">
    <cfRule type="cellIs" dxfId="158" priority="86" operator="lessThan">
      <formula>$I$1</formula>
    </cfRule>
    <cfRule type="cellIs" dxfId="159" priority="87" operator="greaterThanOrEqual">
      <formula>$N$1</formula>
    </cfRule>
    <cfRule type="cellIs" dxfId="157" priority="88" operator="between">
      <formula>$I$1</formula>
      <formula>$N$1</formula>
    </cfRule>
  </conditionalFormatting>
  <conditionalFormatting sqref="BX23:BZ52">
    <cfRule type="cellIs" dxfId="152" priority="84" operator="greaterThan">
      <formula>0</formula>
    </cfRule>
    <cfRule type="cellIs" dxfId="153" priority="85" operator="lessThan">
      <formula>0</formula>
    </cfRule>
  </conditionalFormatting>
  <conditionalFormatting sqref="CD23:CD52">
    <cfRule type="containsText" dxfId="140" priority="66" operator="containsText" text="Lost">
      <formula>NOT(ISERROR(SEARCH("Lost",CD23)))</formula>
    </cfRule>
    <cfRule type="containsText" dxfId="141" priority="67" operator="containsText" text="Won">
      <formula>NOT(ISERROR(SEARCH("Won",CD23)))</formula>
    </cfRule>
    <cfRule type="containsText" dxfId="142" priority="68" operator="containsText" text="Lost">
      <formula>NOT(ISERROR(SEARCH("Lost",CD23)))</formula>
    </cfRule>
    <cfRule type="containsText" dxfId="143" priority="69" operator="containsText" text="Won">
      <formula>NOT(ISERROR(SEARCH("Won",CD23)))</formula>
    </cfRule>
    <cfRule type="containsText" dxfId="144" priority="70" operator="containsText" text="Lost">
      <formula>NOT(ISERROR(SEARCH("Lost",CD23)))</formula>
    </cfRule>
    <cfRule type="containsText" dxfId="145" priority="71" operator="containsText" text="Won">
      <formula>NOT(ISERROR(SEARCH("Won",CD23)))</formula>
    </cfRule>
    <cfRule type="containsText" dxfId="146" priority="72" operator="containsText" text="Lost">
      <formula>NOT(ISERROR(SEARCH("Lost",CD23)))</formula>
    </cfRule>
    <cfRule type="containsText" dxfId="147" priority="73" operator="containsText" text="Won">
      <formula>NOT(ISERROR(SEARCH("Won",CD23)))</formula>
    </cfRule>
    <cfRule type="containsText" dxfId="139" priority="74" operator="containsText" text="Lost">
      <formula>NOT(ISERROR(SEARCH("Lost",CD23)))</formula>
    </cfRule>
    <cfRule type="containsText" dxfId="148" priority="75" operator="containsText" text="Won">
      <formula>NOT(ISERROR(SEARCH("Won",CD23)))</formula>
    </cfRule>
    <cfRule type="containsText" dxfId="149" priority="76" operator="containsText" text="SKIP">
      <formula>NOT(ISERROR(SEARCH("SKIP",CD23)))</formula>
    </cfRule>
    <cfRule type="containsText" dxfId="135" priority="77" operator="containsText" text="Lost">
      <formula>NOT(ISERROR(SEARCH("Lost",CD23)))</formula>
    </cfRule>
    <cfRule type="containsText" dxfId="136" priority="78" operator="containsText" text="Won">
      <formula>NOT(ISERROR(SEARCH("Won",CD23)))</formula>
    </cfRule>
    <cfRule type="containsText" dxfId="137" priority="79" operator="containsText" text="Lost">
      <formula>NOT(ISERROR(SEARCH("Lost",CD23)))</formula>
    </cfRule>
    <cfRule type="containsText" dxfId="138" priority="80" operator="containsText" text="Won">
      <formula>NOT(ISERROR(SEARCH("Won",CD23)))</formula>
    </cfRule>
  </conditionalFormatting>
  <conditionalFormatting sqref="CI23:CI52">
    <cfRule type="containsText" dxfId="106" priority="46" operator="containsText" text="Lost">
      <formula>NOT(ISERROR(SEARCH("Lost",CI23)))</formula>
    </cfRule>
    <cfRule type="containsText" dxfId="119" priority="46" operator="containsText" text="Won">
      <formula>NOT(ISERROR(SEARCH("Won",CI23)))</formula>
    </cfRule>
    <cfRule type="containsText" dxfId="107" priority="46" operator="containsText" text="Lost">
      <formula>NOT(ISERROR(SEARCH("Lost",CI23)))</formula>
    </cfRule>
    <cfRule type="containsText" dxfId="108" priority="46" operator="containsText" text="Won">
      <formula>NOT(ISERROR(SEARCH("Won",CI23)))</formula>
    </cfRule>
    <cfRule type="containsText" dxfId="109" priority="46" operator="containsText" text="Lost">
      <formula>NOT(ISERROR(SEARCH("Lost",CI23)))</formula>
    </cfRule>
    <cfRule type="containsText" dxfId="110" priority="46" operator="containsText" text="Won">
      <formula>NOT(ISERROR(SEARCH("Won",CI23)))</formula>
    </cfRule>
    <cfRule type="containsText" dxfId="111" priority="46" operator="containsText" text="Lost">
      <formula>NOT(ISERROR(SEARCH("Lost",CI23)))</formula>
    </cfRule>
    <cfRule type="containsText" dxfId="112" priority="46" operator="containsText" text="Won">
      <formula>NOT(ISERROR(SEARCH("Won",CI23)))</formula>
    </cfRule>
    <cfRule type="containsText" dxfId="118" priority="46" operator="containsText" text="Lost">
      <formula>NOT(ISERROR(SEARCH("Lost",CI23)))</formula>
    </cfRule>
    <cfRule type="containsText" dxfId="113" priority="46" operator="containsText" text="Won">
      <formula>NOT(ISERROR(SEARCH("Won",CI23)))</formula>
    </cfRule>
    <cfRule type="containsText" dxfId="114" priority="46" operator="containsText" text="SKIP">
      <formula>NOT(ISERROR(SEARCH("SKIP",CI23)))</formula>
    </cfRule>
    <cfRule type="containsText" dxfId="115" priority="46" operator="containsText" text="Lost">
      <formula>NOT(ISERROR(SEARCH("Lost",CI23)))</formula>
    </cfRule>
    <cfRule type="containsText" dxfId="116" priority="46" operator="containsText" text="Won">
      <formula>NOT(ISERROR(SEARCH("Won",CI23)))</formula>
    </cfRule>
    <cfRule type="containsText" dxfId="105" priority="46" operator="containsText" text="Lost">
      <formula>NOT(ISERROR(SEARCH("Lost",CI23)))</formula>
    </cfRule>
    <cfRule type="containsText" dxfId="117" priority="46" operator="containsText" text="Won">
      <formula>NOT(ISERROR(SEARCH("Won",CI23)))</formula>
    </cfRule>
  </conditionalFormatting>
  <conditionalFormatting sqref="CK23:CK52">
    <cfRule type="containsText" dxfId="88" priority="51" operator="containsText" text="Lost">
      <formula>NOT(ISERROR(SEARCH("Lost",CK23)))</formula>
    </cfRule>
    <cfRule type="containsText" dxfId="82" priority="52" operator="containsText" text="Won">
      <formula>NOT(ISERROR(SEARCH("Won",CK23)))</formula>
    </cfRule>
    <cfRule type="containsText" dxfId="86" priority="53" operator="containsText" text="Lost">
      <formula>NOT(ISERROR(SEARCH("Lost",CK23)))</formula>
    </cfRule>
    <cfRule type="containsText" dxfId="87" priority="54" operator="containsText" text="Won">
      <formula>NOT(ISERROR(SEARCH("Won",CK23)))</formula>
    </cfRule>
    <cfRule type="containsText" dxfId="85" priority="55" operator="containsText" text="Lost">
      <formula>NOT(ISERROR(SEARCH("Lost",CK23)))</formula>
    </cfRule>
    <cfRule type="containsText" dxfId="84" priority="56" operator="containsText" text="Won">
      <formula>NOT(ISERROR(SEARCH("Won",CK23)))</formula>
    </cfRule>
    <cfRule type="containsText" dxfId="83" priority="57" operator="containsText" text="Lost">
      <formula>NOT(ISERROR(SEARCH("Lost",CK23)))</formula>
    </cfRule>
    <cfRule type="containsText" dxfId="81" priority="58" operator="containsText" text="Won">
      <formula>NOT(ISERROR(SEARCH("Won",CK23)))</formula>
    </cfRule>
    <cfRule type="containsText" dxfId="80" priority="59" operator="containsText" text="Lost">
      <formula>NOT(ISERROR(SEARCH("Lost",CK23)))</formula>
    </cfRule>
    <cfRule type="containsText" dxfId="75" priority="60" operator="containsText" text="Won">
      <formula>NOT(ISERROR(SEARCH("Won",CK23)))</formula>
    </cfRule>
    <cfRule type="containsText" dxfId="79" priority="61" operator="containsText" text="SKIP">
      <formula>NOT(ISERROR(SEARCH("SKIP",CK23)))</formula>
    </cfRule>
    <cfRule type="containsText" dxfId="78" priority="62" operator="containsText" text="Lost">
      <formula>NOT(ISERROR(SEARCH("Lost",CK23)))</formula>
    </cfRule>
    <cfRule type="containsText" dxfId="77" priority="63" operator="containsText" text="Won">
      <formula>NOT(ISERROR(SEARCH("Won",CK23)))</formula>
    </cfRule>
    <cfRule type="containsText" dxfId="76" priority="64" operator="containsText" text="Lost">
      <formula>NOT(ISERROR(SEARCH("Lost",CK23)))</formula>
    </cfRule>
    <cfRule type="containsText" dxfId="89" priority="65" operator="containsText" text="Won">
      <formula>NOT(ISERROR(SEARCH("Won",CK23)))</formula>
    </cfRule>
  </conditionalFormatting>
  <conditionalFormatting sqref="CO23">
    <cfRule type="containsText" dxfId="57" priority="16" operator="containsText" text="Lost">
      <formula>NOT(ISERROR(SEARCH("Lost",CO23)))</formula>
    </cfRule>
    <cfRule type="containsText" dxfId="58" priority="17" operator="containsText" text="Won">
      <formula>NOT(ISERROR(SEARCH("Won",CO23)))</formula>
    </cfRule>
    <cfRule type="containsText" dxfId="45" priority="18" operator="containsText" text="Lost">
      <formula>NOT(ISERROR(SEARCH("Lost",CO23)))</formula>
    </cfRule>
    <cfRule type="containsText" dxfId="46" priority="19" operator="containsText" text="Won">
      <formula>NOT(ISERROR(SEARCH("Won",CO23)))</formula>
    </cfRule>
    <cfRule type="containsText" dxfId="47" priority="20" operator="containsText" text="Lost">
      <formula>NOT(ISERROR(SEARCH("Lost",CO23)))</formula>
    </cfRule>
    <cfRule type="containsText" dxfId="48" priority="21" operator="containsText" text="Won">
      <formula>NOT(ISERROR(SEARCH("Won",CO23)))</formula>
    </cfRule>
    <cfRule type="containsText" dxfId="49" priority="22" operator="containsText" text="Lost">
      <formula>NOT(ISERROR(SEARCH("Lost",CO23)))</formula>
    </cfRule>
    <cfRule type="containsText" dxfId="54" priority="23" operator="containsText" text="Won">
      <formula>NOT(ISERROR(SEARCH("Won",CO23)))</formula>
    </cfRule>
    <cfRule type="containsText" dxfId="50" priority="24" operator="containsText" text="Lost">
      <formula>NOT(ISERROR(SEARCH("Lost",CO23)))</formula>
    </cfRule>
    <cfRule type="containsText" dxfId="55" priority="25" operator="containsText" text="Won">
      <formula>NOT(ISERROR(SEARCH("Won",CO23)))</formula>
    </cfRule>
    <cfRule type="containsText" dxfId="53" priority="26" operator="containsText" text="SKIP">
      <formula>NOT(ISERROR(SEARCH("SKIP",CO23)))</formula>
    </cfRule>
    <cfRule type="containsText" dxfId="52" priority="27" operator="containsText" text="Lost">
      <formula>NOT(ISERROR(SEARCH("Lost",CO23)))</formula>
    </cfRule>
    <cfRule type="containsText" dxfId="51" priority="28" operator="containsText" text="Won">
      <formula>NOT(ISERROR(SEARCH("Won",CO23)))</formula>
    </cfRule>
    <cfRule type="containsText" dxfId="56" priority="29" operator="containsText" text="Lost">
      <formula>NOT(ISERROR(SEARCH("Lost",CO23)))</formula>
    </cfRule>
    <cfRule type="containsText" dxfId="59" priority="30" operator="containsText" text="Won">
      <formula>NOT(ISERROR(SEARCH("Won",CO23)))</formula>
    </cfRule>
  </conditionalFormatting>
  <conditionalFormatting sqref="CS23:CS52 CQ23:CQ52 CO24:CO52 CM23:CM52">
    <cfRule type="containsText" dxfId="29" priority="1" operator="containsText" text="Lost">
      <formula>NOT(ISERROR(SEARCH("Lost",CM23)))</formula>
    </cfRule>
    <cfRule type="containsText" dxfId="28" priority="2" operator="containsText" text="Won">
      <formula>NOT(ISERROR(SEARCH("Won",CM23)))</formula>
    </cfRule>
    <cfRule type="containsText" dxfId="27" priority="3" operator="containsText" text="Lost">
      <formula>NOT(ISERROR(SEARCH("Lost",CM23)))</formula>
    </cfRule>
    <cfRule type="containsText" dxfId="26" priority="4" operator="containsText" text="Won">
      <formula>NOT(ISERROR(SEARCH("Won",CM23)))</formula>
    </cfRule>
    <cfRule type="containsText" dxfId="25" priority="5" operator="containsText" text="Lost">
      <formula>NOT(ISERROR(SEARCH("Lost",CM23)))</formula>
    </cfRule>
    <cfRule type="containsText" dxfId="24" priority="6" operator="containsText" text="Won">
      <formula>NOT(ISERROR(SEARCH("Won",CM23)))</formula>
    </cfRule>
    <cfRule type="containsText" dxfId="23" priority="7" operator="containsText" text="Lost">
      <formula>NOT(ISERROR(SEARCH("Lost",CM23)))</formula>
    </cfRule>
    <cfRule type="containsText" dxfId="22" priority="8" operator="containsText" text="Won">
      <formula>NOT(ISERROR(SEARCH("Won",CM23)))</formula>
    </cfRule>
    <cfRule type="containsText" dxfId="21" priority="9" operator="containsText" text="Lost">
      <formula>NOT(ISERROR(SEARCH("Lost",CM23)))</formula>
    </cfRule>
    <cfRule type="containsText" dxfId="20" priority="10" operator="containsText" text="Won">
      <formula>NOT(ISERROR(SEARCH("Won",CM23)))</formula>
    </cfRule>
    <cfRule type="containsText" dxfId="19" priority="11" operator="containsText" text="SKIP">
      <formula>NOT(ISERROR(SEARCH("SKIP",CM23)))</formula>
    </cfRule>
    <cfRule type="containsText" dxfId="18" priority="12" operator="containsText" text="Lost">
      <formula>NOT(ISERROR(SEARCH("Lost",CM23)))</formula>
    </cfRule>
    <cfRule type="containsText" dxfId="17" priority="13" operator="containsText" text="Won">
      <formula>NOT(ISERROR(SEARCH("Won",CM23)))</formula>
    </cfRule>
    <cfRule type="containsText" dxfId="16" priority="14" operator="containsText" text="Lost">
      <formula>NOT(ISERROR(SEARCH("Lost",CM23)))</formula>
    </cfRule>
    <cfRule type="containsText" dxfId="15" priority="15" operator="containsText" text="Won">
      <formula>NOT(ISERROR(SEARCH("Won",CM23)))</formula>
    </cfRule>
  </conditionalFormatting>
  <dataValidations count="6">
    <dataValidation type="list" allowBlank="1" showInputMessage="1" showErrorMessage="1" sqref="BM26" xr:uid="{40E2B14F-5A10-41FB-B16C-B275BE2EBBBE}">
      <formula1>"FOCUS, SPLIT"</formula1>
    </dataValidation>
    <dataValidation type="list" allowBlank="1" showInputMessage="1" showErrorMessage="1" sqref="BM22" xr:uid="{19D21679-62DC-42C4-BFA6-6324CE58B8E3}">
      <formula1>$A$2:$A$17</formula1>
    </dataValidation>
    <dataValidation allowBlank="1" showInputMessage="1" showErrorMessage="1" errorTitle="ENTER ONLY ODDS" error="ODDS YOU SEE FROM BET9JA LIKE 1.5, 2.00, 1.7 DAT'S ALL" sqref="CC23:CC52 CA26:CB52 BR21:BR52 BS22:BS52" xr:uid="{3E134C4C-B12B-4957-873F-6DE68F8A242C}"/>
    <dataValidation type="list" allowBlank="1" showInputMessage="1" showErrorMessage="1" errorTitle="ARE YOU NUT" error="ENTER ONLY LOST OR WON IN CAPITAL LETTER" promptTitle="WON OR LOSE" sqref="BT23:BT52" xr:uid="{345C3B47-B3E2-461B-95BB-8B7F109705F0}">
      <formula1>"WON, LOST,SKIP"</formula1>
    </dataValidation>
    <dataValidation type="list" allowBlank="1" showInputMessage="1" showErrorMessage="1" errorTitle="ARE YOU NUT" error="ENTER ONLY LOST OR WON IN CAPITAL LETTER" promptTitle="WON OR LOSE" sqref="CD23:CD52" xr:uid="{B1B48DB1-E4E1-4162-9457-0E11EB81A97C}">
      <formula1>"WON, LOST, SKIP"</formula1>
    </dataValidation>
    <dataValidation type="list" allowBlank="1" showInputMessage="1" showErrorMessage="1" sqref="BM23" xr:uid="{6515201C-9FE8-4A20-8890-EED2A5D79D16}">
      <formula1>"FOCUS, SPLIT,FULL TIME LEFT,FULL TIME RIGHT, FULL TIME BOTH SIDE, HALF TIME LEFT,HALF TIME RIGHT,HALF TIME BOTH SIDE"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OLAJIDE TEMITOPE</cp:lastModifiedBy>
  <dcterms:created xsi:type="dcterms:W3CDTF">2025-10-05T08:50:44Z</dcterms:created>
  <dcterms:modified xsi:type="dcterms:W3CDTF">2025-10-27T17:09:17Z</dcterms:modified>
</cp:coreProperties>
</file>